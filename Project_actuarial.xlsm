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eiBin(Kelvin)Li\OneDrive - Mola Group Corporation\Desktop\"/>
    </mc:Choice>
  </mc:AlternateContent>
  <xr:revisionPtr revIDLastSave="1499" documentId="8_{308E7F65-F534-4809-BBC1-A7CED6A7252F}" xr6:coauthVersionLast="44" xr6:coauthVersionMax="44" xr10:uidLastSave="{9B43DFEE-5342-4C3E-9C52-68A5A3412A06}"/>
  <bookViews>
    <workbookView xWindow="-120" yWindow="-120" windowWidth="20730" windowHeight="11160" activeTab="4" xr2:uid="{3D192FB9-FCC1-4134-9588-80EBE6BFDCD2}"/>
  </bookViews>
  <sheets>
    <sheet name="Rate Tables" sheetId="1" r:id="rId1"/>
    <sheet name="Calculator Step 1" sheetId="5" r:id="rId2"/>
    <sheet name="Policy Holder Data" sheetId="3" r:id="rId3"/>
    <sheet name="Policy Holder Data 2" sheetId="4" r:id="rId4"/>
    <sheet name="Calculator 2" sheetId="7" r:id="rId5"/>
  </sheets>
  <definedNames>
    <definedName name="Age_vs_gen">'Rate Tables'!$D$5:$O$7</definedName>
    <definedName name="age_vs_lic">'Rate Tables'!$D$16:$AE$42</definedName>
    <definedName name="door_vs_type">'Rate Tables'!$D$10:$F$13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5" i="1" l="1"/>
  <c r="Y5" i="1" s="1"/>
  <c r="P5" i="1"/>
  <c r="Q5" i="1"/>
  <c r="R5" i="1" s="1"/>
  <c r="S5" i="1" s="1"/>
  <c r="T5" i="1" s="1"/>
  <c r="U5" i="1" s="1"/>
  <c r="V5" i="1" s="1"/>
  <c r="W5" i="1" s="1"/>
  <c r="F5" i="1" l="1"/>
  <c r="G5" i="1"/>
  <c r="H5" i="1" s="1"/>
  <c r="I5" i="1" s="1"/>
  <c r="J5" i="1" s="1"/>
  <c r="K5" i="1" s="1"/>
  <c r="L5" i="1" s="1"/>
  <c r="M5" i="1" s="1"/>
  <c r="N5" i="1" s="1"/>
  <c r="O5" i="1" s="1"/>
  <c r="F13" i="1"/>
  <c r="F16" i="1"/>
  <c r="G16" i="1" s="1"/>
  <c r="H16" i="1" s="1"/>
  <c r="I16" i="1" s="1"/>
  <c r="J16" i="1" s="1"/>
  <c r="K16" i="1" s="1"/>
  <c r="L16" i="1" s="1"/>
  <c r="M16" i="1" s="1"/>
  <c r="N16" i="1" s="1"/>
  <c r="O16" i="1" s="1"/>
  <c r="P16" i="1" s="1"/>
  <c r="Q16" i="1" s="1"/>
  <c r="R16" i="1" s="1"/>
  <c r="S16" i="1" s="1"/>
  <c r="T16" i="1" s="1"/>
  <c r="U16" i="1" s="1"/>
  <c r="V16" i="1" s="1"/>
  <c r="W16" i="1" s="1"/>
  <c r="X16" i="1" s="1"/>
  <c r="Y16" i="1" s="1"/>
  <c r="Z16" i="1" s="1"/>
  <c r="AA16" i="1" s="1"/>
  <c r="AB16" i="1" s="1"/>
  <c r="AC16" i="1" s="1"/>
  <c r="AD16" i="1" s="1"/>
  <c r="AE16" i="1" s="1"/>
  <c r="G10" i="7"/>
  <c r="I25" i="7"/>
  <c r="J25" i="7" s="1"/>
  <c r="K25" i="7" s="1"/>
  <c r="L25" i="7" s="1"/>
  <c r="M25" i="7" s="1"/>
  <c r="N25" i="7" s="1"/>
  <c r="O25" i="7" s="1"/>
  <c r="P25" i="7" s="1"/>
  <c r="Q25" i="7" s="1"/>
  <c r="I21" i="7"/>
  <c r="J21" i="7" s="1"/>
  <c r="K21" i="7" s="1"/>
  <c r="L21" i="7" s="1"/>
  <c r="M21" i="7" s="1"/>
  <c r="N21" i="7" s="1"/>
  <c r="O21" i="7" s="1"/>
  <c r="P21" i="7" s="1"/>
  <c r="Q21" i="7" s="1"/>
  <c r="J17" i="7"/>
  <c r="K17" i="7" s="1"/>
  <c r="L17" i="7" s="1"/>
  <c r="M17" i="7" s="1"/>
  <c r="N17" i="7" s="1"/>
  <c r="O17" i="7" s="1"/>
  <c r="P17" i="7" s="1"/>
  <c r="Q17" i="7" s="1"/>
  <c r="I17" i="7"/>
  <c r="I14" i="7"/>
  <c r="J14" i="7" s="1"/>
  <c r="K14" i="7" s="1"/>
  <c r="L14" i="7" s="1"/>
  <c r="M14" i="7" s="1"/>
  <c r="N14" i="7" s="1"/>
  <c r="O14" i="7" s="1"/>
  <c r="P14" i="7" s="1"/>
  <c r="Q14" i="7" s="1"/>
  <c r="J11" i="7"/>
  <c r="K11" i="7" s="1"/>
  <c r="L11" i="7" s="1"/>
  <c r="M11" i="7" s="1"/>
  <c r="N11" i="7" s="1"/>
  <c r="O11" i="7" s="1"/>
  <c r="P11" i="7" s="1"/>
  <c r="Q11" i="7" s="1"/>
  <c r="I11" i="7"/>
  <c r="Q8" i="7"/>
  <c r="P8" i="7"/>
  <c r="O8" i="7"/>
  <c r="N8" i="7"/>
  <c r="M8" i="7"/>
  <c r="L8" i="7"/>
  <c r="K8" i="7"/>
  <c r="J8" i="7"/>
  <c r="I8" i="7"/>
  <c r="H8" i="7"/>
  <c r="G8" i="7"/>
  <c r="G4" i="7"/>
  <c r="H3" i="7"/>
  <c r="I3" i="7" s="1"/>
  <c r="J3" i="7" s="1"/>
  <c r="K3" i="7" s="1"/>
  <c r="L3" i="7" s="1"/>
  <c r="M3" i="7" s="1"/>
  <c r="N3" i="7" s="1"/>
  <c r="O3" i="7" s="1"/>
  <c r="P3" i="7" s="1"/>
  <c r="Q3" i="7" s="1"/>
  <c r="I2" i="7"/>
  <c r="G4" i="5"/>
  <c r="I14" i="5"/>
  <c r="J14" i="5" s="1"/>
  <c r="K14" i="5" s="1"/>
  <c r="L14" i="5" s="1"/>
  <c r="M14" i="5" s="1"/>
  <c r="N14" i="5" s="1"/>
  <c r="O14" i="5" s="1"/>
  <c r="P14" i="5" s="1"/>
  <c r="Q14" i="5" s="1"/>
  <c r="G10" i="5"/>
  <c r="H8" i="5"/>
  <c r="I8" i="5"/>
  <c r="J8" i="5"/>
  <c r="K8" i="5"/>
  <c r="L8" i="5"/>
  <c r="M8" i="5"/>
  <c r="N8" i="5"/>
  <c r="O8" i="5"/>
  <c r="P8" i="5"/>
  <c r="Q8" i="5"/>
  <c r="G8" i="5"/>
  <c r="I2" i="5"/>
  <c r="I11" i="5"/>
  <c r="J11" i="5" s="1"/>
  <c r="K11" i="5" s="1"/>
  <c r="L11" i="5" s="1"/>
  <c r="M11" i="5" s="1"/>
  <c r="N11" i="5" s="1"/>
  <c r="O11" i="5" s="1"/>
  <c r="P11" i="5" s="1"/>
  <c r="Q11" i="5" s="1"/>
  <c r="H3" i="5"/>
  <c r="I3" i="5" s="1"/>
  <c r="D19" i="1"/>
  <c r="D20" i="1" l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H4" i="7"/>
  <c r="H4" i="5"/>
  <c r="I4" i="7"/>
  <c r="H10" i="7"/>
  <c r="J2" i="7"/>
  <c r="H10" i="5"/>
  <c r="J2" i="5"/>
  <c r="K2" i="5" s="1"/>
  <c r="J3" i="5"/>
  <c r="K3" i="5" s="1"/>
  <c r="L3" i="5" s="1"/>
  <c r="M3" i="5" s="1"/>
  <c r="N3" i="5" s="1"/>
  <c r="O3" i="5" s="1"/>
  <c r="P3" i="5" s="1"/>
  <c r="Q3" i="5" s="1"/>
  <c r="G12" i="7" l="1"/>
  <c r="G15" i="7" s="1"/>
  <c r="G18" i="7" s="1"/>
  <c r="G22" i="7" s="1"/>
  <c r="G26" i="7" s="1"/>
  <c r="F12" i="7"/>
  <c r="G12" i="5"/>
  <c r="G15" i="5" s="1"/>
  <c r="F12" i="5"/>
  <c r="H12" i="7"/>
  <c r="H15" i="7" s="1"/>
  <c r="H18" i="7" s="1"/>
  <c r="H22" i="7" s="1"/>
  <c r="H26" i="7" s="1"/>
  <c r="I4" i="5"/>
  <c r="I10" i="7"/>
  <c r="K2" i="7"/>
  <c r="J4" i="7"/>
  <c r="L2" i="5"/>
  <c r="J4" i="5"/>
  <c r="H12" i="5"/>
  <c r="H15" i="5" s="1"/>
  <c r="I10" i="5"/>
  <c r="M2" i="5"/>
  <c r="J10" i="7" l="1"/>
  <c r="K10" i="7" s="1"/>
  <c r="L2" i="7"/>
  <c r="J10" i="5"/>
  <c r="I12" i="5"/>
  <c r="I15" i="5" s="1"/>
  <c r="K4" i="7" l="1"/>
  <c r="I12" i="7"/>
  <c r="I15" i="7" s="1"/>
  <c r="I18" i="7" s="1"/>
  <c r="I22" i="7" s="1"/>
  <c r="I26" i="7" s="1"/>
  <c r="N4" i="5"/>
  <c r="P4" i="7"/>
  <c r="K4" i="5"/>
  <c r="J12" i="7"/>
  <c r="J15" i="7" s="1"/>
  <c r="J18" i="7" s="1"/>
  <c r="J22" i="7" s="1"/>
  <c r="J26" i="7" s="1"/>
  <c r="L10" i="7"/>
  <c r="M2" i="7"/>
  <c r="K10" i="5"/>
  <c r="J12" i="5"/>
  <c r="J15" i="5" s="1"/>
  <c r="N4" i="7" l="1"/>
  <c r="L4" i="5"/>
  <c r="O4" i="7"/>
  <c r="M4" i="5"/>
  <c r="M4" i="7"/>
  <c r="L4" i="7"/>
  <c r="P4" i="5"/>
  <c r="Q4" i="5"/>
  <c r="O4" i="5"/>
  <c r="Q4" i="7"/>
  <c r="M10" i="7"/>
  <c r="L10" i="5"/>
  <c r="K12" i="5"/>
  <c r="K15" i="5" s="1"/>
  <c r="K12" i="7" l="1"/>
  <c r="K15" i="7" s="1"/>
  <c r="K18" i="7" s="1"/>
  <c r="K22" i="7" s="1"/>
  <c r="K26" i="7" s="1"/>
  <c r="N10" i="7"/>
  <c r="M10" i="5"/>
  <c r="L12" i="5"/>
  <c r="L15" i="5" s="1"/>
  <c r="L12" i="7" l="1"/>
  <c r="L15" i="7" s="1"/>
  <c r="L18" i="7" s="1"/>
  <c r="L22" i="7" s="1"/>
  <c r="L26" i="7" s="1"/>
  <c r="O10" i="7"/>
  <c r="N10" i="5"/>
  <c r="M12" i="5"/>
  <c r="M15" i="5" s="1"/>
  <c r="M12" i="7" l="1"/>
  <c r="M15" i="7" s="1"/>
  <c r="M18" i="7" s="1"/>
  <c r="M22" i="7" s="1"/>
  <c r="M26" i="7" s="1"/>
  <c r="P10" i="7"/>
  <c r="O10" i="5"/>
  <c r="N12" i="5"/>
  <c r="N15" i="5" s="1"/>
  <c r="N12" i="7" l="1"/>
  <c r="N15" i="7" s="1"/>
  <c r="N18" i="7" s="1"/>
  <c r="N22" i="7" s="1"/>
  <c r="N26" i="7" s="1"/>
  <c r="Q10" i="7"/>
  <c r="P10" i="5"/>
  <c r="O12" i="5"/>
  <c r="O15" i="5" s="1"/>
  <c r="O12" i="7" l="1"/>
  <c r="O15" i="7" s="1"/>
  <c r="O18" i="7" s="1"/>
  <c r="O22" i="7" s="1"/>
  <c r="O26" i="7" s="1"/>
  <c r="Q10" i="5"/>
  <c r="Q12" i="5" s="1"/>
  <c r="Q15" i="5" s="1"/>
  <c r="P12" i="5"/>
  <c r="P15" i="5" s="1"/>
  <c r="P12" i="7" l="1"/>
  <c r="P15" i="7" s="1"/>
  <c r="P18" i="7" s="1"/>
  <c r="P22" i="7" s="1"/>
  <c r="P26" i="7" s="1"/>
  <c r="Q12" i="7" l="1"/>
  <c r="Q15" i="7" s="1"/>
  <c r="Q18" i="7" s="1"/>
  <c r="Q22" i="7" s="1"/>
  <c r="Q26" i="7" s="1"/>
  <c r="F30" i="7" s="1"/>
</calcChain>
</file>

<file path=xl/sharedStrings.xml><?xml version="1.0" encoding="utf-8"?>
<sst xmlns="http://schemas.openxmlformats.org/spreadsheetml/2006/main" count="660" uniqueCount="126">
  <si>
    <t>Age</t>
  </si>
  <si>
    <t>Gender</t>
  </si>
  <si>
    <t>F</t>
  </si>
  <si>
    <t>M</t>
  </si>
  <si>
    <t>Doors</t>
  </si>
  <si>
    <t>Vehicle Type</t>
  </si>
  <si>
    <t>Hummer</t>
  </si>
  <si>
    <t>Car</t>
  </si>
  <si>
    <t>Year Licensed</t>
  </si>
  <si>
    <t>Policy Holder</t>
  </si>
  <si>
    <t xml:space="preserve">Age </t>
  </si>
  <si>
    <t xml:space="preserve">Vehicle </t>
  </si>
  <si>
    <t>Years Licensed</t>
  </si>
  <si>
    <t>NAME #1</t>
  </si>
  <si>
    <t>NAME #2</t>
  </si>
  <si>
    <t>NAME #3</t>
  </si>
  <si>
    <t>NAME #4</t>
  </si>
  <si>
    <t>NAME #5</t>
  </si>
  <si>
    <t>NAME #6</t>
  </si>
  <si>
    <t>NAME #7</t>
  </si>
  <si>
    <t>NAME #8</t>
  </si>
  <si>
    <t>NAME #9</t>
  </si>
  <si>
    <t>NAME #10</t>
  </si>
  <si>
    <t>NAME #11</t>
  </si>
  <si>
    <t>NAME #12</t>
  </si>
  <si>
    <t>NAME #13</t>
  </si>
  <si>
    <t>NAME #14</t>
  </si>
  <si>
    <t>NAME #15</t>
  </si>
  <si>
    <t>NAME #16</t>
  </si>
  <si>
    <t>NAME #17</t>
  </si>
  <si>
    <t>NAME #18</t>
  </si>
  <si>
    <t>NAME #19</t>
  </si>
  <si>
    <t>NAME #20</t>
  </si>
  <si>
    <t>NAME #21</t>
  </si>
  <si>
    <t>NAME #22</t>
  </si>
  <si>
    <t>NAME #23</t>
  </si>
  <si>
    <t>NAME #24</t>
  </si>
  <si>
    <t>NAME #25</t>
  </si>
  <si>
    <t>NAME #26</t>
  </si>
  <si>
    <t>NAME #27</t>
  </si>
  <si>
    <t>NAME #28</t>
  </si>
  <si>
    <t>NAME #29</t>
  </si>
  <si>
    <t>NAME #30</t>
  </si>
  <si>
    <t>NAME #31</t>
  </si>
  <si>
    <t>NAME #32</t>
  </si>
  <si>
    <t>NAME #33</t>
  </si>
  <si>
    <t>NAME #34</t>
  </si>
  <si>
    <t>NAME #35</t>
  </si>
  <si>
    <t>NAME #36</t>
  </si>
  <si>
    <t>NAME #37</t>
  </si>
  <si>
    <t>NAME #38</t>
  </si>
  <si>
    <t>NAME #39</t>
  </si>
  <si>
    <t>NAME #40</t>
  </si>
  <si>
    <t>NAME #41</t>
  </si>
  <si>
    <t>NAME #42</t>
  </si>
  <si>
    <t>NAME #43</t>
  </si>
  <si>
    <t>NAME #44</t>
  </si>
  <si>
    <t>NAME #45</t>
  </si>
  <si>
    <t>NAME #46</t>
  </si>
  <si>
    <t>NAME #47</t>
  </si>
  <si>
    <t>NAME #48</t>
  </si>
  <si>
    <t>NAME #49</t>
  </si>
  <si>
    <t>NAME #50</t>
  </si>
  <si>
    <t>NAME #51</t>
  </si>
  <si>
    <t>NAME #52</t>
  </si>
  <si>
    <t>NAME #53</t>
  </si>
  <si>
    <t>NAME #54</t>
  </si>
  <si>
    <t>NAME #55</t>
  </si>
  <si>
    <t>NAME #56</t>
  </si>
  <si>
    <t>NAME #57</t>
  </si>
  <si>
    <t>NAME #58</t>
  </si>
  <si>
    <t>NAME #59</t>
  </si>
  <si>
    <t>NAME #60</t>
  </si>
  <si>
    <t>NAME #61</t>
  </si>
  <si>
    <t>NAME #62</t>
  </si>
  <si>
    <t>NAME #63</t>
  </si>
  <si>
    <t>NAME #64</t>
  </si>
  <si>
    <t>NAME #65</t>
  </si>
  <si>
    <t>NAME #66</t>
  </si>
  <si>
    <t>NAME #67</t>
  </si>
  <si>
    <t>NAME #68</t>
  </si>
  <si>
    <t>NAME #69</t>
  </si>
  <si>
    <t>NAME #70</t>
  </si>
  <si>
    <t>NAME #71</t>
  </si>
  <si>
    <t>NAME #72</t>
  </si>
  <si>
    <t>NAME #73</t>
  </si>
  <si>
    <t>NAME #74</t>
  </si>
  <si>
    <t>NAME #75</t>
  </si>
  <si>
    <t>NAME #76</t>
  </si>
  <si>
    <t>NAME #77</t>
  </si>
  <si>
    <t>NAME #78</t>
  </si>
  <si>
    <t>NAME #79</t>
  </si>
  <si>
    <t>NAME #80</t>
  </si>
  <si>
    <t>NAME #81</t>
  </si>
  <si>
    <t>NAME #82</t>
  </si>
  <si>
    <t>NAME #83</t>
  </si>
  <si>
    <t>NAME #84</t>
  </si>
  <si>
    <t>NAME #85</t>
  </si>
  <si>
    <t>NAME #86</t>
  </si>
  <si>
    <t>NAME #87</t>
  </si>
  <si>
    <t>NAME #88</t>
  </si>
  <si>
    <t>NAME #89</t>
  </si>
  <si>
    <t>NAME #90</t>
  </si>
  <si>
    <t>NAME #91</t>
  </si>
  <si>
    <t>NAME #92</t>
  </si>
  <si>
    <t>NAME #93</t>
  </si>
  <si>
    <t>NAME #94</t>
  </si>
  <si>
    <t>NAME #95</t>
  </si>
  <si>
    <t>NAME #96</t>
  </si>
  <si>
    <t>NAME #97</t>
  </si>
  <si>
    <t>NAME #98</t>
  </si>
  <si>
    <t>NAME #99</t>
  </si>
  <si>
    <t>NAME #100</t>
  </si>
  <si>
    <t>Truck</t>
  </si>
  <si>
    <t>Vehicle</t>
  </si>
  <si>
    <t>Yrs Licensed</t>
  </si>
  <si>
    <t>Policy Year</t>
  </si>
  <si>
    <t>Amount to be paid by insurance company ($55 for operating expenses, profit, and error each year)</t>
  </si>
  <si>
    <t>PV at time 0</t>
  </si>
  <si>
    <t>Total premium to be paid for 10 years of insurance</t>
  </si>
  <si>
    <t>Interest Rate</t>
  </si>
  <si>
    <t>INT = 3%</t>
  </si>
  <si>
    <t>INT = 4%</t>
  </si>
  <si>
    <t>INT = 5%</t>
  </si>
  <si>
    <t>INT = 6%</t>
  </si>
  <si>
    <t>INT = 7%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</si>
</sst>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0.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4">
    <xf numFmtId="0" fontId="0" fillId="0" borderId="0" xfId="0"/>
    <xf numFmtId="0" fontId="0" fillId="0" borderId="1" xfId="0" applyBorder="1"/>
    <xf numFmtId="0" fontId="0" fillId="2" borderId="0" xfId="0" applyFill="1"/>
    <xf numFmtId="0" fontId="0" fillId="2" borderId="1" xfId="0" applyFill="1" applyBorder="1"/>
    <xf numFmtId="164" fontId="0" fillId="0" borderId="1" xfId="0" applyNumberFormat="1" applyBorder="1"/>
    <xf numFmtId="2" fontId="0" fillId="0" borderId="1" xfId="0" applyNumberFormat="1" applyBorder="1"/>
    <xf numFmtId="2" fontId="0" fillId="0" borderId="0" xfId="0" applyNumberFormat="1"/>
    <xf numFmtId="0" fontId="2" fillId="2" borderId="1" xfId="0" applyFont="1" applyFill="1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44" fontId="0" fillId="0" borderId="1" xfId="1" applyFont="1" applyBorder="1"/>
    <xf numFmtId="0" fontId="4" fillId="0" borderId="0" xfId="0" applyFont="1" applyFill="1" applyBorder="1"/>
    <xf numFmtId="0" fontId="0" fillId="0" borderId="0" xfId="0" applyBorder="1"/>
    <xf numFmtId="0" fontId="5" fillId="0" borderId="0" xfId="0" applyFont="1" applyFill="1" applyBorder="1"/>
    <xf numFmtId="0" fontId="0" fillId="0" borderId="1" xfId="0" applyFill="1" applyBorder="1" applyAlignment="1">
      <alignment horizontal="center"/>
    </xf>
    <xf numFmtId="44" fontId="0" fillId="0" borderId="0" xfId="0" applyNumberFormat="1"/>
    <xf numFmtId="44" fontId="0" fillId="0" borderId="1" xfId="0" applyNumberFormat="1" applyBorder="1"/>
    <xf numFmtId="44" fontId="0" fillId="0" borderId="0" xfId="0" applyNumberFormat="1" applyBorder="1"/>
    <xf numFmtId="9" fontId="2" fillId="2" borderId="1" xfId="2" applyFont="1" applyFill="1" applyBorder="1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2" fontId="0" fillId="0" borderId="5" xfId="0" applyNumberFormat="1" applyBorder="1"/>
    <xf numFmtId="7" fontId="0" fillId="0" borderId="1" xfId="0" applyNumberFormat="1" applyBorder="1"/>
  </cellXfs>
  <cellStyles count="3">
    <cellStyle name="Currency" xfId="1" builtinId="4"/>
    <cellStyle name="Normal" xfId="0" builtinId="0"/>
    <cellStyle name="Percent" xfId="2" builtinId="5"/>
  </cellStyles>
  <dxfs count="2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98383-8363-4D7A-BB20-24F6E9F7BE0B}">
  <sheetPr codeName="Sheet1"/>
  <dimension ref="D4:AE42"/>
  <sheetViews>
    <sheetView topLeftCell="B6" workbookViewId="0">
      <selection activeCell="P6" sqref="P6:Y7"/>
    </sheetView>
  </sheetViews>
  <sheetFormatPr defaultRowHeight="15" x14ac:dyDescent="0.25"/>
  <cols>
    <col min="4" max="4" width="13.28515625" customWidth="1"/>
    <col min="5" max="5" width="14.5703125" customWidth="1"/>
    <col min="6" max="15" width="11.7109375" bestFit="1" customWidth="1"/>
    <col min="16" max="18" width="10.5703125" bestFit="1" customWidth="1"/>
  </cols>
  <sheetData>
    <row r="4" spans="4:31" x14ac:dyDescent="0.25">
      <c r="E4" t="s">
        <v>0</v>
      </c>
    </row>
    <row r="5" spans="4:31" x14ac:dyDescent="0.25">
      <c r="D5" s="2" t="s">
        <v>1</v>
      </c>
      <c r="E5" s="3">
        <v>20</v>
      </c>
      <c r="F5" s="3">
        <f>E5+1</f>
        <v>21</v>
      </c>
      <c r="G5" s="3">
        <f t="shared" ref="G5:N5" si="0">F5+1</f>
        <v>22</v>
      </c>
      <c r="H5" s="3">
        <f t="shared" si="0"/>
        <v>23</v>
      </c>
      <c r="I5" s="3">
        <f t="shared" si="0"/>
        <v>24</v>
      </c>
      <c r="J5" s="3">
        <f t="shared" si="0"/>
        <v>25</v>
      </c>
      <c r="K5" s="3">
        <f t="shared" si="0"/>
        <v>26</v>
      </c>
      <c r="L5" s="3">
        <f>K5+1</f>
        <v>27</v>
      </c>
      <c r="M5" s="3">
        <f t="shared" si="0"/>
        <v>28</v>
      </c>
      <c r="N5" s="3">
        <f t="shared" si="0"/>
        <v>29</v>
      </c>
      <c r="O5" s="3">
        <f>N5+1</f>
        <v>30</v>
      </c>
      <c r="P5" s="3">
        <f t="shared" ref="P5:Y5" si="1">O5+1</f>
        <v>31</v>
      </c>
      <c r="Q5" s="3">
        <f t="shared" si="1"/>
        <v>32</v>
      </c>
      <c r="R5" s="3">
        <f t="shared" si="1"/>
        <v>33</v>
      </c>
      <c r="S5" s="3">
        <f t="shared" si="1"/>
        <v>34</v>
      </c>
      <c r="T5" s="3">
        <f t="shared" si="1"/>
        <v>35</v>
      </c>
      <c r="U5" s="3">
        <f t="shared" si="1"/>
        <v>36</v>
      </c>
      <c r="V5" s="3">
        <f t="shared" si="1"/>
        <v>37</v>
      </c>
      <c r="W5" s="3">
        <f t="shared" si="1"/>
        <v>38</v>
      </c>
      <c r="X5" s="3">
        <f>W5+1</f>
        <v>39</v>
      </c>
      <c r="Y5" s="3">
        <f t="shared" si="1"/>
        <v>40</v>
      </c>
    </row>
    <row r="6" spans="4:31" x14ac:dyDescent="0.25">
      <c r="D6" s="3" t="s">
        <v>2</v>
      </c>
      <c r="E6" s="5">
        <v>0.18243898147320836</v>
      </c>
      <c r="F6" s="5">
        <v>0.55470472291945339</v>
      </c>
      <c r="G6" s="5">
        <v>0.28830576308079714</v>
      </c>
      <c r="H6" s="5">
        <v>0.46342590395880534</v>
      </c>
      <c r="I6" s="5">
        <v>0.52089224089445574</v>
      </c>
      <c r="J6" s="5">
        <v>0.32558604389343815</v>
      </c>
      <c r="K6" s="5">
        <v>0.78308365899188437</v>
      </c>
      <c r="L6" s="5">
        <v>0.93663783733298089</v>
      </c>
      <c r="M6" s="5">
        <v>0.66086239640917821</v>
      </c>
      <c r="N6" s="5">
        <v>0.61929418846596929</v>
      </c>
      <c r="O6" s="5">
        <v>0.96941757324246691</v>
      </c>
      <c r="P6" s="19">
        <v>0.93684834835846365</v>
      </c>
      <c r="Q6" s="20">
        <v>0.62221279717651512</v>
      </c>
      <c r="R6" s="20">
        <v>5.0764945252688709E-2</v>
      </c>
      <c r="S6" s="20">
        <v>0.11386282132212688</v>
      </c>
      <c r="T6" s="20">
        <v>0.69026201807110454</v>
      </c>
      <c r="U6" s="20">
        <v>0.99508462954981669</v>
      </c>
      <c r="V6" s="20">
        <v>0.71513846911159884</v>
      </c>
      <c r="W6" s="20">
        <v>0.14974741018445514</v>
      </c>
      <c r="X6" s="20">
        <v>0.9419378245332749</v>
      </c>
      <c r="Y6" s="20">
        <v>0.75916012059079852</v>
      </c>
    </row>
    <row r="7" spans="4:31" x14ac:dyDescent="0.25">
      <c r="D7" s="3" t="s">
        <v>3</v>
      </c>
      <c r="E7" s="5">
        <v>0.62158322736515981</v>
      </c>
      <c r="F7" s="5">
        <v>0.69767820778040812</v>
      </c>
      <c r="G7" s="5">
        <v>0.65051566142792017</v>
      </c>
      <c r="H7" s="5">
        <v>0.60917882670284851</v>
      </c>
      <c r="I7" s="5">
        <v>0.78106319730749918</v>
      </c>
      <c r="J7" s="5">
        <v>0.10324651726007139</v>
      </c>
      <c r="K7" s="5">
        <v>0.43615955929180705</v>
      </c>
      <c r="L7" s="5">
        <v>0.1135715114132454</v>
      </c>
      <c r="M7" s="5">
        <v>0.23843662572230029</v>
      </c>
      <c r="N7" s="5">
        <v>0.37313303353903604</v>
      </c>
      <c r="O7" s="5">
        <v>0.80063151048220149</v>
      </c>
      <c r="P7" s="21">
        <v>0.18452874202933567</v>
      </c>
      <c r="Q7" s="22">
        <v>0.5979586062048543</v>
      </c>
      <c r="R7" s="22">
        <v>0.7479684543773697</v>
      </c>
      <c r="S7" s="22">
        <v>0.44784111428804074</v>
      </c>
      <c r="T7" s="22">
        <v>0.90825973997503451</v>
      </c>
      <c r="U7" s="22">
        <v>0.90051853381227243</v>
      </c>
      <c r="V7" s="22">
        <v>0.82875670543591839</v>
      </c>
      <c r="W7" s="22">
        <v>0.22336580091069858</v>
      </c>
      <c r="X7" s="22">
        <v>0.45398566753129399</v>
      </c>
      <c r="Y7" s="22">
        <v>0.95948418763006627</v>
      </c>
    </row>
    <row r="9" spans="4:31" x14ac:dyDescent="0.25">
      <c r="E9" s="1" t="s">
        <v>4</v>
      </c>
      <c r="F9" s="1"/>
    </row>
    <row r="10" spans="4:31" x14ac:dyDescent="0.25">
      <c r="D10" s="3" t="s">
        <v>5</v>
      </c>
      <c r="E10" s="3">
        <v>2</v>
      </c>
      <c r="F10" s="3">
        <v>4</v>
      </c>
    </row>
    <row r="11" spans="4:31" x14ac:dyDescent="0.25">
      <c r="D11" s="3" t="s">
        <v>6</v>
      </c>
      <c r="E11" s="5">
        <v>0.48310404850060301</v>
      </c>
      <c r="F11" s="5">
        <v>0.69904285317654857</v>
      </c>
    </row>
    <row r="12" spans="4:31" x14ac:dyDescent="0.25">
      <c r="D12" s="3" t="s">
        <v>113</v>
      </c>
      <c r="E12" s="5">
        <v>0.14938567797688529</v>
      </c>
      <c r="F12" s="5">
        <v>0.26485401678378551</v>
      </c>
    </row>
    <row r="13" spans="4:31" x14ac:dyDescent="0.25">
      <c r="D13" s="3" t="s">
        <v>7</v>
      </c>
      <c r="E13" s="1">
        <v>0.08</v>
      </c>
      <c r="F13" s="1">
        <f>E13+0.28</f>
        <v>0.36000000000000004</v>
      </c>
    </row>
    <row r="15" spans="4:31" x14ac:dyDescent="0.25">
      <c r="E15" t="s">
        <v>8</v>
      </c>
    </row>
    <row r="16" spans="4:31" x14ac:dyDescent="0.25">
      <c r="D16" s="3" t="s">
        <v>0</v>
      </c>
      <c r="E16" s="3">
        <v>1</v>
      </c>
      <c r="F16" s="3">
        <f>E16+1</f>
        <v>2</v>
      </c>
      <c r="G16" s="3">
        <f t="shared" ref="G16:Q16" si="2">F16+1</f>
        <v>3</v>
      </c>
      <c r="H16" s="3">
        <f t="shared" si="2"/>
        <v>4</v>
      </c>
      <c r="I16" s="3">
        <f t="shared" si="2"/>
        <v>5</v>
      </c>
      <c r="J16" s="3">
        <f t="shared" si="2"/>
        <v>6</v>
      </c>
      <c r="K16" s="3">
        <f t="shared" si="2"/>
        <v>7</v>
      </c>
      <c r="L16" s="3">
        <f t="shared" si="2"/>
        <v>8</v>
      </c>
      <c r="M16" s="3">
        <f t="shared" si="2"/>
        <v>9</v>
      </c>
      <c r="N16" s="3">
        <f t="shared" si="2"/>
        <v>10</v>
      </c>
      <c r="O16" s="3">
        <f>N16+1</f>
        <v>11</v>
      </c>
      <c r="P16" s="3">
        <f t="shared" si="2"/>
        <v>12</v>
      </c>
      <c r="Q16" s="3">
        <f t="shared" si="2"/>
        <v>13</v>
      </c>
      <c r="R16" s="3">
        <f>Q16+1</f>
        <v>14</v>
      </c>
      <c r="S16" s="3">
        <f t="shared" ref="S16:AE16" si="3">R16+1</f>
        <v>15</v>
      </c>
      <c r="T16" s="3">
        <f t="shared" si="3"/>
        <v>16</v>
      </c>
      <c r="U16" s="3">
        <f t="shared" si="3"/>
        <v>17</v>
      </c>
      <c r="V16" s="3">
        <f t="shared" si="3"/>
        <v>18</v>
      </c>
      <c r="W16" s="3">
        <f t="shared" si="3"/>
        <v>19</v>
      </c>
      <c r="X16" s="3">
        <f t="shared" si="3"/>
        <v>20</v>
      </c>
      <c r="Y16" s="3">
        <f t="shared" si="3"/>
        <v>21</v>
      </c>
      <c r="Z16" s="3">
        <f t="shared" si="3"/>
        <v>22</v>
      </c>
      <c r="AA16" s="3">
        <f t="shared" si="3"/>
        <v>23</v>
      </c>
      <c r="AB16" s="3">
        <f t="shared" si="3"/>
        <v>24</v>
      </c>
      <c r="AC16" s="3">
        <f t="shared" si="3"/>
        <v>25</v>
      </c>
      <c r="AD16" s="3">
        <f t="shared" si="3"/>
        <v>26</v>
      </c>
      <c r="AE16" s="3">
        <f t="shared" si="3"/>
        <v>27</v>
      </c>
    </row>
    <row r="17" spans="4:31" x14ac:dyDescent="0.25">
      <c r="D17" s="3">
        <v>20</v>
      </c>
      <c r="E17" s="5">
        <v>7.4094850727392969E-2</v>
      </c>
      <c r="F17" s="5">
        <v>0.99503857757123626</v>
      </c>
      <c r="G17" s="5">
        <v>0.37257772586498328</v>
      </c>
      <c r="H17" s="5">
        <v>0.77402739115688068</v>
      </c>
      <c r="I17" s="5">
        <v>0.90969397967847609</v>
      </c>
      <c r="J17" s="5">
        <v>0.66357135311172055</v>
      </c>
      <c r="K17" s="5">
        <v>0.19559422902454504</v>
      </c>
      <c r="L17" s="5">
        <v>0.22359173090849704</v>
      </c>
      <c r="M17" s="5">
        <v>0.83349239146030629</v>
      </c>
      <c r="N17" s="5">
        <v>0.56883873820729425</v>
      </c>
      <c r="O17" s="5">
        <v>0.97283682431083673</v>
      </c>
      <c r="P17" s="5">
        <v>0.97196812489640594</v>
      </c>
      <c r="Q17" s="5">
        <v>0.27322938329597335</v>
      </c>
      <c r="R17" s="5">
        <v>0.19813941370090915</v>
      </c>
      <c r="S17" s="5">
        <v>0.19813941370090915</v>
      </c>
      <c r="T17" s="5">
        <v>0.19813941370090915</v>
      </c>
      <c r="U17" s="5">
        <v>0.19813941370090915</v>
      </c>
      <c r="V17" s="5">
        <v>0.19813941370090915</v>
      </c>
      <c r="W17" s="5">
        <v>0.19813941370090915</v>
      </c>
      <c r="X17" s="5">
        <v>0.19813941370090915</v>
      </c>
      <c r="Y17" s="5">
        <v>0.19813941370090915</v>
      </c>
      <c r="Z17" s="5">
        <v>0.19813941370090915</v>
      </c>
      <c r="AA17" s="5">
        <v>0.19813941370090915</v>
      </c>
      <c r="AB17" s="5">
        <v>0.19813941370090915</v>
      </c>
      <c r="AC17" s="5">
        <v>0.19813941370090915</v>
      </c>
      <c r="AD17" s="5">
        <v>0.19813941370090915</v>
      </c>
      <c r="AE17" s="5">
        <v>0.19813941370090901</v>
      </c>
    </row>
    <row r="18" spans="4:31" x14ac:dyDescent="0.25">
      <c r="D18" s="3">
        <v>21</v>
      </c>
      <c r="E18" s="5">
        <v>0.91050014187544304</v>
      </c>
      <c r="F18" s="5">
        <v>0.92696072277922947</v>
      </c>
      <c r="G18" s="5">
        <v>0.51569039189555521</v>
      </c>
      <c r="H18" s="5">
        <v>0.46593066617791101</v>
      </c>
      <c r="I18" s="5">
        <v>0.88378107685180374</v>
      </c>
      <c r="J18" s="5">
        <v>0.24898784118834427</v>
      </c>
      <c r="K18" s="5">
        <v>0.257967726596257</v>
      </c>
      <c r="L18" s="5">
        <v>0.19357500982904763</v>
      </c>
      <c r="M18" s="5">
        <v>0.53212551673312958</v>
      </c>
      <c r="N18" s="5">
        <v>0.25794416262035957</v>
      </c>
      <c r="O18" s="5">
        <v>0.54328949657079473</v>
      </c>
      <c r="P18" s="5">
        <v>1.2564797856267074E-2</v>
      </c>
      <c r="Q18" s="5">
        <v>5.1968962966106869E-2</v>
      </c>
      <c r="R18" s="5">
        <v>0.57361815446920739</v>
      </c>
      <c r="S18" s="5">
        <v>0.57361815446920739</v>
      </c>
      <c r="T18" s="5">
        <v>0.57361815446920739</v>
      </c>
      <c r="U18" s="5">
        <v>0.57361815446920739</v>
      </c>
      <c r="V18" s="5">
        <v>0.57361815446920739</v>
      </c>
      <c r="W18" s="5">
        <v>0.57361815446920739</v>
      </c>
      <c r="X18" s="5">
        <v>0.57361815446920739</v>
      </c>
      <c r="Y18" s="5">
        <v>0.57361815446920739</v>
      </c>
      <c r="Z18" s="5">
        <v>0.57361815446920739</v>
      </c>
      <c r="AA18" s="5">
        <v>0.57361815446920739</v>
      </c>
      <c r="AB18" s="5">
        <v>0.57361815446920739</v>
      </c>
      <c r="AC18" s="5">
        <v>0.57361815446920739</v>
      </c>
      <c r="AD18" s="5">
        <v>0.57361815446920739</v>
      </c>
      <c r="AE18" s="5">
        <v>0.57361815446920705</v>
      </c>
    </row>
    <row r="19" spans="4:31" x14ac:dyDescent="0.25">
      <c r="D19" s="3">
        <f>D18+1</f>
        <v>22</v>
      </c>
      <c r="E19" s="5">
        <v>7.4094850727392969E-2</v>
      </c>
      <c r="F19" s="5">
        <v>0.99503857757123626</v>
      </c>
      <c r="G19" s="5">
        <v>0.37257772586498328</v>
      </c>
      <c r="H19" s="5">
        <v>0.77402739115688068</v>
      </c>
      <c r="I19" s="5">
        <v>0.90969397967847609</v>
      </c>
      <c r="J19" s="5">
        <v>0.66357135311172055</v>
      </c>
      <c r="K19" s="5">
        <v>0.19559422902454504</v>
      </c>
      <c r="L19" s="5">
        <v>0.22359173090849704</v>
      </c>
      <c r="M19" s="5">
        <v>0.83349239146030629</v>
      </c>
      <c r="N19" s="5">
        <v>0.56883873820729425</v>
      </c>
      <c r="O19" s="5">
        <v>0.97283682431083673</v>
      </c>
      <c r="P19" s="5">
        <v>0.97196812489640594</v>
      </c>
      <c r="Q19" s="5">
        <v>0.27322938329597335</v>
      </c>
      <c r="R19" s="5">
        <v>0.19813941370090915</v>
      </c>
      <c r="S19" s="5">
        <v>0.19813941370090915</v>
      </c>
      <c r="T19" s="5">
        <v>0.19813941370090915</v>
      </c>
      <c r="U19" s="5">
        <v>0.19813941370090915</v>
      </c>
      <c r="V19" s="5">
        <v>0.19813941370090915</v>
      </c>
      <c r="W19" s="5">
        <v>0.19813941370090915</v>
      </c>
      <c r="X19" s="5">
        <v>0.19813941370090915</v>
      </c>
      <c r="Y19" s="5">
        <v>0.19813941370090915</v>
      </c>
      <c r="Z19" s="5">
        <v>0.19813941370090915</v>
      </c>
      <c r="AA19" s="5">
        <v>0.19813941370090915</v>
      </c>
      <c r="AB19" s="5">
        <v>0.19813941370090915</v>
      </c>
      <c r="AC19" s="5">
        <v>0.19813941370090915</v>
      </c>
      <c r="AD19" s="5">
        <v>0.19813941370090915</v>
      </c>
      <c r="AE19" s="5">
        <v>0.19813941370090901</v>
      </c>
    </row>
    <row r="20" spans="4:31" x14ac:dyDescent="0.25">
      <c r="D20" s="3">
        <f t="shared" ref="D20:D42" si="4">D19+1</f>
        <v>23</v>
      </c>
      <c r="E20" s="5">
        <v>0.91050014187544304</v>
      </c>
      <c r="F20" s="5">
        <v>0.92696072277922947</v>
      </c>
      <c r="G20" s="5">
        <v>0.51569039189555521</v>
      </c>
      <c r="H20" s="5">
        <v>0.46593066617791101</v>
      </c>
      <c r="I20" s="5">
        <v>0.88378107685180374</v>
      </c>
      <c r="J20" s="5">
        <v>0.24898784118834427</v>
      </c>
      <c r="K20" s="5">
        <v>0.257967726596257</v>
      </c>
      <c r="L20" s="5">
        <v>0.19357500982904763</v>
      </c>
      <c r="M20" s="5">
        <v>0.53212551673312958</v>
      </c>
      <c r="N20" s="5">
        <v>0.25794416262035957</v>
      </c>
      <c r="O20" s="5">
        <v>0.54328949657079473</v>
      </c>
      <c r="P20" s="5">
        <v>1.2564797856267074E-2</v>
      </c>
      <c r="Q20" s="5">
        <v>5.1968962966106869E-2</v>
      </c>
      <c r="R20" s="5">
        <v>0.57361815446920739</v>
      </c>
      <c r="S20" s="5">
        <v>0.57361815446920739</v>
      </c>
      <c r="T20" s="5">
        <v>0.57361815446920739</v>
      </c>
      <c r="U20" s="5">
        <v>0.57361815446920739</v>
      </c>
      <c r="V20" s="5">
        <v>0.57361815446920739</v>
      </c>
      <c r="W20" s="5">
        <v>0.57361815446920739</v>
      </c>
      <c r="X20" s="5">
        <v>0.57361815446920739</v>
      </c>
      <c r="Y20" s="5">
        <v>0.57361815446920739</v>
      </c>
      <c r="Z20" s="5">
        <v>0.57361815446920739</v>
      </c>
      <c r="AA20" s="5">
        <v>0.57361815446920739</v>
      </c>
      <c r="AB20" s="5">
        <v>0.57361815446920739</v>
      </c>
      <c r="AC20" s="5">
        <v>0.57361815446920739</v>
      </c>
      <c r="AD20" s="5">
        <v>0.57361815446920739</v>
      </c>
      <c r="AE20" s="5">
        <v>0.57361815446920705</v>
      </c>
    </row>
    <row r="21" spans="4:31" x14ac:dyDescent="0.25">
      <c r="D21" s="3">
        <f t="shared" si="4"/>
        <v>24</v>
      </c>
      <c r="E21" s="5">
        <v>0.89924948276496364</v>
      </c>
      <c r="F21" s="5">
        <v>0.81881207115802079</v>
      </c>
      <c r="G21" s="5">
        <v>0.58860125514748107</v>
      </c>
      <c r="H21" s="5">
        <v>0.55215788523561304</v>
      </c>
      <c r="I21" s="5">
        <v>0.42342882933820947</v>
      </c>
      <c r="J21" s="5">
        <v>0.17664006498138374</v>
      </c>
      <c r="K21" s="5">
        <v>0.29894256242278239</v>
      </c>
      <c r="L21" s="5">
        <v>0.62845840412955567</v>
      </c>
      <c r="M21" s="5">
        <v>0.24604268859365042</v>
      </c>
      <c r="N21" s="5">
        <v>0.34953129325452381</v>
      </c>
      <c r="O21" s="5">
        <v>0.67468664377446574</v>
      </c>
      <c r="P21" s="5">
        <v>0.74727249678673024</v>
      </c>
      <c r="Q21" s="5">
        <v>0.98434949854374176</v>
      </c>
      <c r="R21" s="5">
        <v>0.51338168026135378</v>
      </c>
      <c r="S21" s="5">
        <v>0.51338168026135378</v>
      </c>
      <c r="T21" s="5">
        <v>0.51338168026135378</v>
      </c>
      <c r="U21" s="5">
        <v>0.51338168026135378</v>
      </c>
      <c r="V21" s="5">
        <v>0.51338168026135378</v>
      </c>
      <c r="W21" s="5">
        <v>0.51338168026135378</v>
      </c>
      <c r="X21" s="5">
        <v>0.51338168026135378</v>
      </c>
      <c r="Y21" s="5">
        <v>0.51338168026135378</v>
      </c>
      <c r="Z21" s="5">
        <v>0.51338168026135378</v>
      </c>
      <c r="AA21" s="5">
        <v>0.51338168026135378</v>
      </c>
      <c r="AB21" s="5">
        <v>0.51338168026135378</v>
      </c>
      <c r="AC21" s="5">
        <v>0.51338168026135378</v>
      </c>
      <c r="AD21" s="5">
        <v>0.51338168026135378</v>
      </c>
      <c r="AE21" s="5">
        <v>0.513381680261354</v>
      </c>
    </row>
    <row r="22" spans="4:31" x14ac:dyDescent="0.25">
      <c r="D22" s="3">
        <f t="shared" si="4"/>
        <v>25</v>
      </c>
      <c r="E22" s="5">
        <v>0.16562260752441671</v>
      </c>
      <c r="F22" s="5">
        <v>0.10142446978248199</v>
      </c>
      <c r="G22" s="5">
        <v>0.45716113203843101</v>
      </c>
      <c r="H22" s="5">
        <v>0.39298238695738597</v>
      </c>
      <c r="I22" s="5">
        <v>0.80098203485162933</v>
      </c>
      <c r="J22" s="5">
        <v>0.40020168709097326</v>
      </c>
      <c r="K22" s="5">
        <v>0.61357661058212187</v>
      </c>
      <c r="L22" s="5">
        <v>0.93525587440701907</v>
      </c>
      <c r="M22" s="5">
        <v>0.21147527118384923</v>
      </c>
      <c r="N22" s="5">
        <v>0.21540214089632759</v>
      </c>
      <c r="O22" s="5">
        <v>0.23514905120596996</v>
      </c>
      <c r="P22" s="5">
        <v>4.9239770787988246E-2</v>
      </c>
      <c r="Q22" s="5">
        <v>0.78740704883258561</v>
      </c>
      <c r="R22" s="5">
        <v>0.17939303489406178</v>
      </c>
      <c r="S22" s="5">
        <v>0.17939303489406178</v>
      </c>
      <c r="T22" s="5">
        <v>0.17939303489406178</v>
      </c>
      <c r="U22" s="5">
        <v>0.17939303489406178</v>
      </c>
      <c r="V22" s="5">
        <v>0.17939303489406178</v>
      </c>
      <c r="W22" s="5">
        <v>0.17939303489406178</v>
      </c>
      <c r="X22" s="5">
        <v>0.17939303489406178</v>
      </c>
      <c r="Y22" s="5">
        <v>0.17939303489406178</v>
      </c>
      <c r="Z22" s="5">
        <v>0.17939303489406178</v>
      </c>
      <c r="AA22" s="5">
        <v>0.17939303489406178</v>
      </c>
      <c r="AB22" s="5">
        <v>0.17939303489406178</v>
      </c>
      <c r="AC22" s="5">
        <v>0.17939303489406178</v>
      </c>
      <c r="AD22" s="5">
        <v>0.17939303489406178</v>
      </c>
      <c r="AE22" s="5">
        <v>0.179393034894062</v>
      </c>
    </row>
    <row r="23" spans="4:31" x14ac:dyDescent="0.25">
      <c r="D23" s="3">
        <f t="shared" si="4"/>
        <v>26</v>
      </c>
      <c r="E23" s="5">
        <v>0.55301917661210098</v>
      </c>
      <c r="F23" s="5">
        <v>0.4302882209782144</v>
      </c>
      <c r="G23" s="5">
        <v>0.84739308033938943</v>
      </c>
      <c r="H23" s="5">
        <v>0.61168738551853208</v>
      </c>
      <c r="I23" s="5">
        <v>5.1797634598685249E-2</v>
      </c>
      <c r="J23" s="5">
        <v>0.20113161287425951</v>
      </c>
      <c r="K23" s="5">
        <v>0.38812901945031275</v>
      </c>
      <c r="L23" s="5">
        <v>0.9907709588816952</v>
      </c>
      <c r="M23" s="5">
        <v>0.98287310736189215</v>
      </c>
      <c r="N23" s="5">
        <v>0.6684847243660742</v>
      </c>
      <c r="O23" s="5">
        <v>0.24838622535579602</v>
      </c>
      <c r="P23" s="5">
        <v>0.33420274541443051</v>
      </c>
      <c r="Q23" s="5">
        <v>0.82296733515222142</v>
      </c>
      <c r="R23" s="5">
        <v>0.82942319017701094</v>
      </c>
      <c r="S23" s="5">
        <v>0.82942319017701094</v>
      </c>
      <c r="T23" s="5">
        <v>0.82942319017701094</v>
      </c>
      <c r="U23" s="5">
        <v>0.82942319017701094</v>
      </c>
      <c r="V23" s="5">
        <v>0.82942319017701094</v>
      </c>
      <c r="W23" s="5">
        <v>0.82942319017701094</v>
      </c>
      <c r="X23" s="5">
        <v>0.82942319017701094</v>
      </c>
      <c r="Y23" s="5">
        <v>0.82942319017701094</v>
      </c>
      <c r="Z23" s="5">
        <v>0.82942319017701094</v>
      </c>
      <c r="AA23" s="5">
        <v>0.82942319017701094</v>
      </c>
      <c r="AB23" s="5">
        <v>0.82942319017701094</v>
      </c>
      <c r="AC23" s="5">
        <v>0.82942319017701094</v>
      </c>
      <c r="AD23" s="5">
        <v>0.82942319017701094</v>
      </c>
      <c r="AE23" s="5">
        <v>0.82942319017701105</v>
      </c>
    </row>
    <row r="24" spans="4:31" x14ac:dyDescent="0.25">
      <c r="D24" s="3">
        <f t="shared" si="4"/>
        <v>27</v>
      </c>
      <c r="E24" s="5">
        <v>0.42735287786072595</v>
      </c>
      <c r="F24" s="5">
        <v>0.39533462548274012</v>
      </c>
      <c r="G24" s="5">
        <v>0.84775608869474806</v>
      </c>
      <c r="H24" s="5">
        <v>0.35082363369453418</v>
      </c>
      <c r="I24" s="5">
        <v>6.3660886828232899E-3</v>
      </c>
      <c r="J24" s="5">
        <v>0.37100995251575242</v>
      </c>
      <c r="K24" s="5">
        <v>2.1682893396109404E-2</v>
      </c>
      <c r="L24" s="5">
        <v>0.51620117900831641</v>
      </c>
      <c r="M24" s="5">
        <v>0.62900835119821275</v>
      </c>
      <c r="N24" s="5">
        <v>0.94716311411413201</v>
      </c>
      <c r="O24" s="5">
        <v>0.56023354255869295</v>
      </c>
      <c r="P24" s="5">
        <v>0.23155732471713186</v>
      </c>
      <c r="Q24" s="5">
        <v>0.15451880268714524</v>
      </c>
      <c r="R24" s="5">
        <v>6.6329135277879869E-2</v>
      </c>
      <c r="S24" s="5">
        <v>6.6329135277879869E-2</v>
      </c>
      <c r="T24" s="5">
        <v>6.6329135277879869E-2</v>
      </c>
      <c r="U24" s="5">
        <v>6.6329135277879869E-2</v>
      </c>
      <c r="V24" s="5">
        <v>6.6329135277879869E-2</v>
      </c>
      <c r="W24" s="5">
        <v>6.6329135277879869E-2</v>
      </c>
      <c r="X24" s="5">
        <v>6.6329135277879869E-2</v>
      </c>
      <c r="Y24" s="5">
        <v>6.6329135277879869E-2</v>
      </c>
      <c r="Z24" s="5">
        <v>6.6329135277879869E-2</v>
      </c>
      <c r="AA24" s="5">
        <v>6.6329135277879869E-2</v>
      </c>
      <c r="AB24" s="5">
        <v>6.6329135277879869E-2</v>
      </c>
      <c r="AC24" s="5">
        <v>6.6329135277879869E-2</v>
      </c>
      <c r="AD24" s="5">
        <v>6.6329135277879869E-2</v>
      </c>
      <c r="AE24" s="5">
        <v>6.6329135277879897E-2</v>
      </c>
    </row>
    <row r="25" spans="4:31" x14ac:dyDescent="0.25">
      <c r="D25" s="3">
        <f t="shared" si="4"/>
        <v>28</v>
      </c>
      <c r="E25" s="5">
        <v>0.79419056277027766</v>
      </c>
      <c r="F25" s="5">
        <v>0.94571509869136483</v>
      </c>
      <c r="G25" s="5">
        <v>0.13347066410429376</v>
      </c>
      <c r="H25" s="5">
        <v>0.49019028350761118</v>
      </c>
      <c r="I25" s="5">
        <v>0.77270232388375704</v>
      </c>
      <c r="J25" s="5">
        <v>0.14258082216997348</v>
      </c>
      <c r="K25" s="5">
        <v>0.96129947294759432</v>
      </c>
      <c r="L25" s="5">
        <v>0.35221640915793251</v>
      </c>
      <c r="M25" s="5">
        <v>7.599318683746481E-2</v>
      </c>
      <c r="N25" s="5">
        <v>0.63794723722757396</v>
      </c>
      <c r="O25" s="5">
        <v>0.45290293060692888</v>
      </c>
      <c r="P25" s="5">
        <v>0.85929138325077026</v>
      </c>
      <c r="Q25" s="5">
        <v>2.72419218062252E-2</v>
      </c>
      <c r="R25" s="5">
        <v>0.73166314137380684</v>
      </c>
      <c r="S25" s="5">
        <v>0.73166314137380684</v>
      </c>
      <c r="T25" s="5">
        <v>0.73166314137380684</v>
      </c>
      <c r="U25" s="5">
        <v>0.73166314137380684</v>
      </c>
      <c r="V25" s="5">
        <v>0.73166314137380684</v>
      </c>
      <c r="W25" s="5">
        <v>0.73166314137380684</v>
      </c>
      <c r="X25" s="5">
        <v>0.73166314137380684</v>
      </c>
      <c r="Y25" s="5">
        <v>0.73166314137380684</v>
      </c>
      <c r="Z25" s="5">
        <v>0.73166314137380684</v>
      </c>
      <c r="AA25" s="5">
        <v>0.73166314137380684</v>
      </c>
      <c r="AB25" s="5">
        <v>0.73166314137380684</v>
      </c>
      <c r="AC25" s="5">
        <v>0.73166314137380684</v>
      </c>
      <c r="AD25" s="5">
        <v>0.73166314137380684</v>
      </c>
      <c r="AE25" s="5">
        <v>0.73166314137380695</v>
      </c>
    </row>
    <row r="26" spans="4:31" x14ac:dyDescent="0.25">
      <c r="D26" s="3">
        <f t="shared" si="4"/>
        <v>29</v>
      </c>
      <c r="E26" s="5">
        <v>0.02</v>
      </c>
      <c r="F26" s="5">
        <v>0.04</v>
      </c>
      <c r="G26" s="5">
        <v>7.0000000000000007E-2</v>
      </c>
      <c r="H26" s="5">
        <v>0.11000000000000001</v>
      </c>
      <c r="I26" s="5">
        <v>0.16000000000000003</v>
      </c>
      <c r="J26" s="5">
        <v>0.22000000000000003</v>
      </c>
      <c r="K26" s="5">
        <v>0.29000000000000004</v>
      </c>
      <c r="L26" s="5">
        <v>0.37000000000000005</v>
      </c>
      <c r="M26" s="5">
        <v>0.46000000000000008</v>
      </c>
      <c r="N26" s="5">
        <v>0.56000000000000005</v>
      </c>
      <c r="O26" s="5">
        <v>0.67</v>
      </c>
      <c r="P26" s="5">
        <v>0.79</v>
      </c>
      <c r="Q26" s="5">
        <v>0.92</v>
      </c>
      <c r="R26" s="5">
        <v>1</v>
      </c>
      <c r="S26" s="5">
        <v>1</v>
      </c>
      <c r="T26" s="5">
        <v>1</v>
      </c>
      <c r="U26" s="5">
        <v>1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>
        <v>1</v>
      </c>
      <c r="AB26" s="5">
        <v>1</v>
      </c>
      <c r="AC26" s="5">
        <v>1</v>
      </c>
      <c r="AD26" s="5">
        <v>1</v>
      </c>
      <c r="AE26" s="5">
        <v>1</v>
      </c>
    </row>
    <row r="27" spans="4:31" x14ac:dyDescent="0.25">
      <c r="D27" s="3">
        <f t="shared" si="4"/>
        <v>30</v>
      </c>
      <c r="E27" s="5">
        <v>0.05</v>
      </c>
      <c r="F27" s="5">
        <v>0.09</v>
      </c>
      <c r="G27" s="5">
        <v>0.11</v>
      </c>
      <c r="H27" s="5">
        <v>0.13</v>
      </c>
      <c r="I27" s="5">
        <v>0.15000000000000002</v>
      </c>
      <c r="J27" s="5">
        <v>0.16999999999999998</v>
      </c>
      <c r="K27" s="5">
        <v>0.19</v>
      </c>
      <c r="L27" s="5">
        <v>0.21000000000000002</v>
      </c>
      <c r="M27" s="5">
        <v>0.22999999999999998</v>
      </c>
      <c r="N27" s="5">
        <v>0.25</v>
      </c>
      <c r="O27" s="5">
        <v>0.27</v>
      </c>
      <c r="P27" s="5">
        <v>0.28999999999999998</v>
      </c>
      <c r="Q27" s="5">
        <v>0.31</v>
      </c>
      <c r="R27" s="5">
        <v>0.33</v>
      </c>
      <c r="S27" s="5">
        <v>0.35</v>
      </c>
      <c r="T27" s="5">
        <v>0.37</v>
      </c>
      <c r="U27" s="5">
        <v>0.39</v>
      </c>
      <c r="V27" s="5">
        <v>0.41</v>
      </c>
      <c r="W27" s="5">
        <v>0.43</v>
      </c>
      <c r="X27" s="5">
        <v>0.45</v>
      </c>
      <c r="Y27" s="5">
        <v>0.47</v>
      </c>
      <c r="Z27" s="5">
        <v>0.49</v>
      </c>
      <c r="AA27" s="5">
        <v>0.51</v>
      </c>
      <c r="AB27" s="5">
        <v>0.53</v>
      </c>
      <c r="AC27" s="5">
        <v>0.55000000000000004</v>
      </c>
      <c r="AD27" s="5">
        <v>0.57000000000000006</v>
      </c>
      <c r="AE27" s="5">
        <v>0.59000000000000008</v>
      </c>
    </row>
    <row r="28" spans="4:31" x14ac:dyDescent="0.25">
      <c r="D28" s="3">
        <f t="shared" si="4"/>
        <v>31</v>
      </c>
      <c r="E28" s="5">
        <v>0.09</v>
      </c>
      <c r="F28" s="5">
        <v>0.13</v>
      </c>
      <c r="G28" s="5">
        <v>0.15</v>
      </c>
      <c r="H28" s="5">
        <v>0.17</v>
      </c>
      <c r="I28" s="5">
        <v>0.19000000000000003</v>
      </c>
      <c r="J28" s="5">
        <v>0.21</v>
      </c>
      <c r="K28" s="5">
        <v>0.23</v>
      </c>
      <c r="L28" s="5">
        <v>0.25</v>
      </c>
      <c r="M28" s="5">
        <v>0.26999999999999996</v>
      </c>
      <c r="N28" s="5">
        <v>0.28999999999999998</v>
      </c>
      <c r="O28" s="5">
        <v>0.31</v>
      </c>
      <c r="P28" s="5">
        <v>0.32999999999999996</v>
      </c>
      <c r="Q28" s="5">
        <v>0.35</v>
      </c>
      <c r="R28" s="5">
        <v>0.37</v>
      </c>
      <c r="S28" s="5">
        <v>0.38999999999999996</v>
      </c>
      <c r="T28" s="5">
        <v>0.41</v>
      </c>
      <c r="U28" s="5">
        <v>0.43</v>
      </c>
      <c r="V28" s="5">
        <v>0.44999999999999996</v>
      </c>
      <c r="W28" s="5">
        <v>0.47</v>
      </c>
      <c r="X28" s="5">
        <v>0.49</v>
      </c>
      <c r="Y28" s="5">
        <v>0.51</v>
      </c>
      <c r="Z28" s="5">
        <v>0.53</v>
      </c>
      <c r="AA28" s="5">
        <v>0.55000000000000004</v>
      </c>
      <c r="AB28" s="5">
        <v>0.57000000000000006</v>
      </c>
      <c r="AC28" s="5">
        <v>0.59000000000000008</v>
      </c>
      <c r="AD28" s="5">
        <v>0.6100000000000001</v>
      </c>
      <c r="AE28" s="5">
        <v>0.63000000000000012</v>
      </c>
    </row>
    <row r="29" spans="4:31" x14ac:dyDescent="0.25">
      <c r="D29" s="3">
        <f t="shared" si="4"/>
        <v>32</v>
      </c>
      <c r="E29" s="5">
        <v>0.13</v>
      </c>
      <c r="F29" s="5">
        <v>0.17</v>
      </c>
      <c r="G29" s="5">
        <v>0.19</v>
      </c>
      <c r="H29" s="5">
        <v>0.21000000000000002</v>
      </c>
      <c r="I29" s="5">
        <v>0.23000000000000004</v>
      </c>
      <c r="J29" s="5">
        <v>0.25</v>
      </c>
      <c r="K29" s="5">
        <v>0.27</v>
      </c>
      <c r="L29" s="5">
        <v>0.28999999999999998</v>
      </c>
      <c r="M29" s="5">
        <v>0.30999999999999994</v>
      </c>
      <c r="N29" s="5">
        <v>0.32999999999999996</v>
      </c>
      <c r="O29" s="5">
        <v>0.35</v>
      </c>
      <c r="P29" s="5">
        <v>0.36999999999999994</v>
      </c>
      <c r="Q29" s="5">
        <v>0.38999999999999996</v>
      </c>
      <c r="R29" s="5">
        <v>0.41</v>
      </c>
      <c r="S29" s="5">
        <v>0.42999999999999994</v>
      </c>
      <c r="T29" s="5">
        <v>0.44999999999999996</v>
      </c>
      <c r="U29" s="5">
        <v>0.47</v>
      </c>
      <c r="V29" s="5">
        <v>0.48999999999999994</v>
      </c>
      <c r="W29" s="5">
        <v>0.51</v>
      </c>
      <c r="X29" s="5">
        <v>0.53</v>
      </c>
      <c r="Y29" s="5">
        <v>0.55000000000000004</v>
      </c>
      <c r="Z29" s="5">
        <v>0.57000000000000006</v>
      </c>
      <c r="AA29" s="5">
        <v>0.59000000000000008</v>
      </c>
      <c r="AB29" s="5">
        <v>0.6100000000000001</v>
      </c>
      <c r="AC29" s="5">
        <v>0.63000000000000012</v>
      </c>
      <c r="AD29" s="5">
        <v>0.65000000000000013</v>
      </c>
      <c r="AE29" s="5">
        <v>0.67000000000000015</v>
      </c>
    </row>
    <row r="30" spans="4:31" x14ac:dyDescent="0.25">
      <c r="D30" s="3">
        <f t="shared" si="4"/>
        <v>33</v>
      </c>
      <c r="E30" s="5">
        <v>0.42996570710890858</v>
      </c>
      <c r="F30" s="5">
        <v>0.10485790280958518</v>
      </c>
      <c r="G30" s="5">
        <v>0.3649933377208765</v>
      </c>
      <c r="H30" s="5">
        <v>0.15782910168523512</v>
      </c>
      <c r="I30" s="5">
        <v>7.6183348911245119E-3</v>
      </c>
      <c r="J30" s="5">
        <v>0.43775080595080484</v>
      </c>
      <c r="K30" s="5">
        <v>0.2101231158662854</v>
      </c>
      <c r="L30" s="5">
        <v>0.11287335999633341</v>
      </c>
      <c r="M30" s="5">
        <v>0.46400234874981761</v>
      </c>
      <c r="N30" s="5">
        <v>0.27956233816445974</v>
      </c>
      <c r="O30" s="5">
        <v>0.4133542551392505</v>
      </c>
      <c r="P30" s="5">
        <v>0.70127833517109639</v>
      </c>
      <c r="Q30" s="5">
        <v>0.68089321581907891</v>
      </c>
      <c r="R30" s="5">
        <v>2.033879923520876E-2</v>
      </c>
      <c r="S30" s="5">
        <v>0.26048400653893189</v>
      </c>
      <c r="T30" s="5">
        <v>0.54202538644768594</v>
      </c>
      <c r="U30" s="5">
        <v>0.72535184740540448</v>
      </c>
      <c r="V30" s="5">
        <v>0.10026854431987431</v>
      </c>
      <c r="W30" s="5">
        <v>0.46858669111258167</v>
      </c>
      <c r="X30" s="5">
        <v>0.10944216397331907</v>
      </c>
      <c r="Y30" s="5">
        <v>0.41287655765381326</v>
      </c>
      <c r="Z30" s="5">
        <v>0.42586571777158677</v>
      </c>
      <c r="AA30" s="5">
        <v>0.8022492395108175</v>
      </c>
      <c r="AB30" s="5">
        <v>0.2008089026586114</v>
      </c>
      <c r="AC30" s="5">
        <v>0.82200282502332234</v>
      </c>
      <c r="AD30" s="5">
        <v>0.32689018084846166</v>
      </c>
      <c r="AE30" s="5">
        <v>0.27903271651350625</v>
      </c>
    </row>
    <row r="31" spans="4:31" x14ac:dyDescent="0.25">
      <c r="D31" s="3">
        <f t="shared" si="4"/>
        <v>34</v>
      </c>
      <c r="E31" s="5">
        <v>0.49937611888193367</v>
      </c>
      <c r="F31" s="5">
        <v>0.89690464387481439</v>
      </c>
      <c r="G31" s="5">
        <v>0.90339233356242121</v>
      </c>
      <c r="H31" s="5">
        <v>0.50729881435288049</v>
      </c>
      <c r="I31" s="5">
        <v>0.47220860927499331</v>
      </c>
      <c r="J31" s="5">
        <v>0.5240095786269563</v>
      </c>
      <c r="K31" s="5">
        <v>0.35637827290331758</v>
      </c>
      <c r="L31" s="5">
        <v>0.20849533979158308</v>
      </c>
      <c r="M31" s="5">
        <v>0.76276820873587192</v>
      </c>
      <c r="N31" s="5">
        <v>0.50125431106517426</v>
      </c>
      <c r="O31" s="5">
        <v>0.81886101485341123</v>
      </c>
      <c r="P31" s="5">
        <v>0.82238242030721442</v>
      </c>
      <c r="Q31" s="5">
        <v>0.93594743269902159</v>
      </c>
      <c r="R31" s="5">
        <v>0.39055629851826179</v>
      </c>
      <c r="S31" s="5">
        <v>0.9509595790966463</v>
      </c>
      <c r="T31" s="5">
        <v>0.94510332959826415</v>
      </c>
      <c r="U31" s="5">
        <v>0.64092377310618409</v>
      </c>
      <c r="V31" s="5">
        <v>0.24869753364643554</v>
      </c>
      <c r="W31" s="5">
        <v>4.815441933492226E-2</v>
      </c>
      <c r="X31" s="5">
        <v>0.88769939143628462</v>
      </c>
      <c r="Y31" s="5">
        <v>0.7575143410051195</v>
      </c>
      <c r="Z31" s="5">
        <v>0.98978451039303239</v>
      </c>
      <c r="AA31" s="5">
        <v>0.40048791499180159</v>
      </c>
      <c r="AB31" s="5">
        <v>0.29667626419621673</v>
      </c>
      <c r="AC31" s="5">
        <v>3.9847631703410102E-2</v>
      </c>
      <c r="AD31" s="5">
        <v>0.66982753555128138</v>
      </c>
      <c r="AE31" s="5">
        <v>0.65451782280833726</v>
      </c>
    </row>
    <row r="32" spans="4:31" x14ac:dyDescent="0.25">
      <c r="D32" s="3">
        <f t="shared" si="4"/>
        <v>35</v>
      </c>
      <c r="E32" s="5">
        <v>0.41402500232581962</v>
      </c>
      <c r="F32" s="5">
        <v>0.60070111491655176</v>
      </c>
      <c r="G32" s="5">
        <v>0.34487820051364082</v>
      </c>
      <c r="H32" s="5">
        <v>0.23907830431661581</v>
      </c>
      <c r="I32" s="5">
        <v>0.33040942661487793</v>
      </c>
      <c r="J32" s="5">
        <v>0.24637007326507987</v>
      </c>
      <c r="K32" s="5">
        <v>0.32831866812660915</v>
      </c>
      <c r="L32" s="5">
        <v>0.82219648524901601</v>
      </c>
      <c r="M32" s="5">
        <v>0.10753244010638219</v>
      </c>
      <c r="N32" s="5">
        <v>0.12284483511807931</v>
      </c>
      <c r="O32" s="5">
        <v>0.60217612005766374</v>
      </c>
      <c r="P32" s="5">
        <v>0.14993879712640068</v>
      </c>
      <c r="Q32" s="5">
        <v>0.67006281601349493</v>
      </c>
      <c r="R32" s="5">
        <v>0.43132307510563006</v>
      </c>
      <c r="S32" s="5">
        <v>0.26492995019262433</v>
      </c>
      <c r="T32" s="5">
        <v>9.4435759792937835E-2</v>
      </c>
      <c r="U32" s="5">
        <v>0.71082004430779666</v>
      </c>
      <c r="V32" s="5">
        <v>0.20914353627420001</v>
      </c>
      <c r="W32" s="5">
        <v>0.1103643304625187</v>
      </c>
      <c r="X32" s="5">
        <v>7.7054649485657212E-3</v>
      </c>
      <c r="Y32" s="5">
        <v>0.92710043700306466</v>
      </c>
      <c r="Z32" s="5">
        <v>0.97633145093210461</v>
      </c>
      <c r="AA32" s="5">
        <v>0.77579822664974563</v>
      </c>
      <c r="AB32" s="5">
        <v>0.25211535170795685</v>
      </c>
      <c r="AC32" s="5">
        <v>0.19631122852001892</v>
      </c>
      <c r="AD32" s="5">
        <v>0.39806332559795343</v>
      </c>
      <c r="AE32" s="5">
        <v>0.50052380661197049</v>
      </c>
    </row>
    <row r="33" spans="4:31" x14ac:dyDescent="0.25">
      <c r="D33" s="3">
        <f t="shared" si="4"/>
        <v>36</v>
      </c>
      <c r="E33" s="5">
        <v>0.25915926663017952</v>
      </c>
      <c r="F33" s="5">
        <v>0.99836399145526111</v>
      </c>
      <c r="G33" s="5">
        <v>0.28074685867818461</v>
      </c>
      <c r="H33" s="5">
        <v>0.45147078881039648</v>
      </c>
      <c r="I33" s="5">
        <v>0.9720108970229534</v>
      </c>
      <c r="J33" s="5">
        <v>0.87581873777297214</v>
      </c>
      <c r="K33" s="5">
        <v>3.3095286587408235E-2</v>
      </c>
      <c r="L33" s="5">
        <v>0.60020221534530749</v>
      </c>
      <c r="M33" s="5">
        <v>0.43427136491249119</v>
      </c>
      <c r="N33" s="5">
        <v>4.5833921387349319E-2</v>
      </c>
      <c r="O33" s="5">
        <v>0.85762966411790553</v>
      </c>
      <c r="P33" s="5">
        <v>0.10221248331829347</v>
      </c>
      <c r="Q33" s="5">
        <v>6.5148902631077865E-2</v>
      </c>
      <c r="R33" s="5">
        <v>0.62375682066878935</v>
      </c>
      <c r="S33" s="5">
        <v>0.38671914752428171</v>
      </c>
      <c r="T33" s="5">
        <v>3.5390524029354609E-2</v>
      </c>
      <c r="U33" s="5">
        <v>0.29397120745645555</v>
      </c>
      <c r="V33" s="5">
        <v>0.85645679497886285</v>
      </c>
      <c r="W33" s="5">
        <v>0.17055618040887266</v>
      </c>
      <c r="X33" s="5">
        <v>0.15060077361095903</v>
      </c>
      <c r="Y33" s="5">
        <v>0.14610283891238873</v>
      </c>
      <c r="Z33" s="5">
        <v>0.97693424344172231</v>
      </c>
      <c r="AA33" s="5">
        <v>9.033579320657914E-2</v>
      </c>
      <c r="AB33" s="5">
        <v>0.66690798453221689</v>
      </c>
      <c r="AC33" s="5">
        <v>0.23173000474335503</v>
      </c>
      <c r="AD33" s="5">
        <v>0.25792058644014482</v>
      </c>
      <c r="AE33" s="5">
        <v>0.8459661887577965</v>
      </c>
    </row>
    <row r="34" spans="4:31" x14ac:dyDescent="0.25">
      <c r="D34" s="3">
        <f t="shared" si="4"/>
        <v>37</v>
      </c>
      <c r="E34" s="5">
        <v>0.31123952677681987</v>
      </c>
      <c r="F34" s="5">
        <v>0.11936597265037008</v>
      </c>
      <c r="G34" s="5">
        <v>0.75455696753042301</v>
      </c>
      <c r="H34" s="5">
        <v>0.66097140512877006</v>
      </c>
      <c r="I34" s="5">
        <v>0.5941282596211146</v>
      </c>
      <c r="J34" s="5">
        <v>0.15821063431290772</v>
      </c>
      <c r="K34" s="5">
        <v>0.74126885426056388</v>
      </c>
      <c r="L34" s="5">
        <v>0.68010657721659218</v>
      </c>
      <c r="M34" s="5">
        <v>0.27426022981949871</v>
      </c>
      <c r="N34" s="5">
        <v>5.4714013143419837E-4</v>
      </c>
      <c r="O34" s="5">
        <v>0.67459274268075797</v>
      </c>
      <c r="P34" s="5">
        <v>0.61272041860992743</v>
      </c>
      <c r="Q34" s="5">
        <v>0.95869646532895381</v>
      </c>
      <c r="R34" s="5">
        <v>0.55641970700030663</v>
      </c>
      <c r="S34" s="5">
        <v>0.13225297808459158</v>
      </c>
      <c r="T34" s="5">
        <v>0.98343603285374559</v>
      </c>
      <c r="U34" s="5">
        <v>0.84772776835200148</v>
      </c>
      <c r="V34" s="5">
        <v>0.72298484602342261</v>
      </c>
      <c r="W34" s="5">
        <v>0.98213895451104194</v>
      </c>
      <c r="X34" s="5">
        <v>0.1849138585274781</v>
      </c>
      <c r="Y34" s="5">
        <v>0.39405171842452036</v>
      </c>
      <c r="Z34" s="5">
        <v>0.26375172225371479</v>
      </c>
      <c r="AA34" s="5">
        <v>0.67448595834679737</v>
      </c>
      <c r="AB34" s="5">
        <v>0.57279109536729933</v>
      </c>
      <c r="AC34" s="5">
        <v>0.57665148021753243</v>
      </c>
      <c r="AD34" s="5">
        <v>0.90826936000767677</v>
      </c>
      <c r="AE34" s="5">
        <v>0.57288899004675986</v>
      </c>
    </row>
    <row r="35" spans="4:31" x14ac:dyDescent="0.25">
      <c r="D35" s="3">
        <f t="shared" si="4"/>
        <v>38</v>
      </c>
      <c r="E35" s="5">
        <v>0.17336536182869255</v>
      </c>
      <c r="F35" s="5">
        <v>0.1470097577892141</v>
      </c>
      <c r="G35" s="5">
        <v>0.27645357669151349</v>
      </c>
      <c r="H35" s="5">
        <v>0.5481707353352927</v>
      </c>
      <c r="I35" s="5">
        <v>0.21229355428436492</v>
      </c>
      <c r="J35" s="5">
        <v>0.12525354489807783</v>
      </c>
      <c r="K35" s="5">
        <v>0.86327438748336971</v>
      </c>
      <c r="L35" s="5">
        <v>0.44554315085402552</v>
      </c>
      <c r="M35" s="5">
        <v>0.52629030470003291</v>
      </c>
      <c r="N35" s="5">
        <v>0.27909920004659894</v>
      </c>
      <c r="O35" s="5">
        <v>0.38426633205785921</v>
      </c>
      <c r="P35" s="5">
        <v>0.45970673768373171</v>
      </c>
      <c r="Q35" s="5">
        <v>2.3909043671575203E-2</v>
      </c>
      <c r="R35" s="5">
        <v>0.83865432435473197</v>
      </c>
      <c r="S35" s="5">
        <v>0.84583002188541967</v>
      </c>
      <c r="T35" s="5">
        <v>0.29648334565634304</v>
      </c>
      <c r="U35" s="5">
        <v>0.73806706156504687</v>
      </c>
      <c r="V35" s="5">
        <v>6.0468326090724722E-2</v>
      </c>
      <c r="W35" s="5">
        <v>0.36877781323936365</v>
      </c>
      <c r="X35" s="5">
        <v>0.81873471941926157</v>
      </c>
      <c r="Y35" s="5">
        <v>0.26371580999506161</v>
      </c>
      <c r="Z35" s="5">
        <v>0.13980045057200008</v>
      </c>
      <c r="AA35" s="5">
        <v>0.1643925397141891</v>
      </c>
      <c r="AB35" s="5">
        <v>0.94773269620554035</v>
      </c>
      <c r="AC35" s="5">
        <v>0.17546076764889196</v>
      </c>
      <c r="AD35" s="5">
        <v>0.16490055874675447</v>
      </c>
      <c r="AE35" s="5">
        <v>0.14270466754817945</v>
      </c>
    </row>
    <row r="36" spans="4:31" x14ac:dyDescent="0.25">
      <c r="D36" s="3">
        <f t="shared" si="4"/>
        <v>39</v>
      </c>
      <c r="E36" s="5">
        <v>0.9450773377339251</v>
      </c>
      <c r="F36" s="5">
        <v>0.14512001979607503</v>
      </c>
      <c r="G36" s="5">
        <v>0.46325901683939275</v>
      </c>
      <c r="H36" s="5">
        <v>0.57339798465993397</v>
      </c>
      <c r="I36" s="5">
        <v>0.10156772721740859</v>
      </c>
      <c r="J36" s="5">
        <v>0.76320412443120733</v>
      </c>
      <c r="K36" s="5">
        <v>0.63688174320836011</v>
      </c>
      <c r="L36" s="5">
        <v>0.99002107721961574</v>
      </c>
      <c r="M36" s="5">
        <v>0.4984465270710402</v>
      </c>
      <c r="N36" s="5">
        <v>0.82598753154429072</v>
      </c>
      <c r="O36" s="5">
        <v>0.62938365281731279</v>
      </c>
      <c r="P36" s="5">
        <v>4.3400985238166379E-2</v>
      </c>
      <c r="Q36" s="5">
        <v>0.13906905849773576</v>
      </c>
      <c r="R36" s="5">
        <v>0.77418103191609633</v>
      </c>
      <c r="S36" s="5">
        <v>0.1394641341826367</v>
      </c>
      <c r="T36" s="5">
        <v>0.94704015131922892</v>
      </c>
      <c r="U36" s="5">
        <v>0.7629518323115918</v>
      </c>
      <c r="V36" s="5">
        <v>0.97952091370175509</v>
      </c>
      <c r="W36" s="5">
        <v>0.6391974722016579</v>
      </c>
      <c r="X36" s="5">
        <v>0.21557110410614222</v>
      </c>
      <c r="Y36" s="5">
        <v>0.94392741776465006</v>
      </c>
      <c r="Z36" s="5">
        <v>0.7150132558686797</v>
      </c>
      <c r="AA36" s="5">
        <v>0.23691825183113535</v>
      </c>
      <c r="AB36" s="5">
        <v>0.96107118826604243</v>
      </c>
      <c r="AC36" s="5">
        <v>0.68649082586669785</v>
      </c>
      <c r="AD36" s="5">
        <v>0.81907511214269901</v>
      </c>
      <c r="AE36" s="5">
        <v>0.82047485375130769</v>
      </c>
    </row>
    <row r="37" spans="4:31" x14ac:dyDescent="0.25">
      <c r="D37" s="3">
        <f t="shared" si="4"/>
        <v>40</v>
      </c>
      <c r="E37" s="5">
        <v>0.14504192131643945</v>
      </c>
      <c r="F37" s="5">
        <v>0.28329028231988795</v>
      </c>
      <c r="G37" s="5">
        <v>0.50076267899386728</v>
      </c>
      <c r="H37" s="5">
        <v>0.61805978167779962</v>
      </c>
      <c r="I37" s="5">
        <v>0.84037754857523461</v>
      </c>
      <c r="J37" s="5">
        <v>0.56430636258156763</v>
      </c>
      <c r="K37" s="5">
        <v>0.88513700874831769</v>
      </c>
      <c r="L37" s="5">
        <v>0.14980902294193343</v>
      </c>
      <c r="M37" s="5">
        <v>0.65593035720750015</v>
      </c>
      <c r="N37" s="5">
        <v>0.24481112667571014</v>
      </c>
      <c r="O37" s="5">
        <v>0.44516721725149822</v>
      </c>
      <c r="P37" s="5">
        <v>0.68948037341203949</v>
      </c>
      <c r="Q37" s="5">
        <v>0.28651356707672437</v>
      </c>
      <c r="R37" s="5">
        <v>3.1382468576212741E-2</v>
      </c>
      <c r="S37" s="5">
        <v>0.33910774719464754</v>
      </c>
      <c r="T37" s="5">
        <v>0.31721776607600494</v>
      </c>
      <c r="U37" s="5">
        <v>0.13000744815624232</v>
      </c>
      <c r="V37" s="5">
        <v>0.42363804865151522</v>
      </c>
      <c r="W37" s="5">
        <v>7.767713461967507E-2</v>
      </c>
      <c r="X37" s="5">
        <v>0.87867286408441481</v>
      </c>
      <c r="Y37" s="5">
        <v>0.88805174066225157</v>
      </c>
      <c r="Z37" s="5">
        <v>0.4024376386716445</v>
      </c>
      <c r="AA37" s="5">
        <v>9.2097176440578132E-2</v>
      </c>
      <c r="AB37" s="5">
        <v>0.48357919340674638</v>
      </c>
      <c r="AC37" s="5">
        <v>0.72269465228957364</v>
      </c>
      <c r="AD37" s="5">
        <v>0.96576867107387099</v>
      </c>
      <c r="AE37" s="5">
        <v>0.40416903072925403</v>
      </c>
    </row>
    <row r="38" spans="4:31" x14ac:dyDescent="0.25">
      <c r="D38" s="3">
        <f t="shared" si="4"/>
        <v>41</v>
      </c>
      <c r="E38" s="5">
        <v>0.29954837107816157</v>
      </c>
      <c r="F38" s="5">
        <v>0.60763265495467123</v>
      </c>
      <c r="G38" s="5">
        <v>0.17442216630569862</v>
      </c>
      <c r="H38" s="5">
        <v>0.463824618353745</v>
      </c>
      <c r="I38" s="5">
        <v>0.7809930821998543</v>
      </c>
      <c r="J38" s="5">
        <v>0.98846776315585816</v>
      </c>
      <c r="K38" s="5">
        <v>0.65010662344555381</v>
      </c>
      <c r="L38" s="5">
        <v>0.77235304642253033</v>
      </c>
      <c r="M38" s="5">
        <v>0.10833241617922962</v>
      </c>
      <c r="N38" s="5">
        <v>0.8911309490013456</v>
      </c>
      <c r="O38" s="5">
        <v>0.63529044559773651</v>
      </c>
      <c r="P38" s="5">
        <v>0.51754323389146162</v>
      </c>
      <c r="Q38" s="5">
        <v>0.1841411671680464</v>
      </c>
      <c r="R38" s="5">
        <v>0.44336439507565717</v>
      </c>
      <c r="S38" s="5">
        <v>0.47018869905661687</v>
      </c>
      <c r="T38" s="5">
        <v>0.91437899441757597</v>
      </c>
      <c r="U38" s="5">
        <v>0.82790838640954678</v>
      </c>
      <c r="V38" s="5">
        <v>0.19567489931610393</v>
      </c>
      <c r="W38" s="5">
        <v>0.84665486428020298</v>
      </c>
      <c r="X38" s="5">
        <v>0.19858165549459916</v>
      </c>
      <c r="Y38" s="5">
        <v>0.27714204022351274</v>
      </c>
      <c r="Z38" s="5">
        <v>0.58292431538529466</v>
      </c>
      <c r="AA38" s="5">
        <v>0.15224083903731733</v>
      </c>
      <c r="AB38" s="5">
        <v>0.32063304978722984</v>
      </c>
      <c r="AC38" s="5">
        <v>0.56904155976489268</v>
      </c>
      <c r="AD38" s="5">
        <v>0.73490133685665249</v>
      </c>
      <c r="AE38" s="5">
        <v>0.92026187118668723</v>
      </c>
    </row>
    <row r="39" spans="4:31" x14ac:dyDescent="0.25">
      <c r="D39" s="3">
        <f t="shared" si="4"/>
        <v>42</v>
      </c>
      <c r="E39" s="5">
        <v>0.96488695377060973</v>
      </c>
      <c r="F39" s="5">
        <v>0.61499125488115236</v>
      </c>
      <c r="G39" s="5">
        <v>8.2865678396070952E-2</v>
      </c>
      <c r="H39" s="5">
        <v>0.94016027503039257</v>
      </c>
      <c r="I39" s="5">
        <v>0.94734511822185807</v>
      </c>
      <c r="J39" s="5">
        <v>0.77488296865482542</v>
      </c>
      <c r="K39" s="5">
        <v>0.82514162538454072</v>
      </c>
      <c r="L39" s="5">
        <v>0.17436950883166691</v>
      </c>
      <c r="M39" s="5">
        <v>0.62926074147365474</v>
      </c>
      <c r="N39" s="5">
        <v>0.85773358227287277</v>
      </c>
      <c r="O39" s="5">
        <v>0.46316102510481105</v>
      </c>
      <c r="P39" s="5">
        <v>0.9217261439868234</v>
      </c>
      <c r="Q39" s="5">
        <v>0.81708065915686412</v>
      </c>
      <c r="R39" s="5">
        <v>0.92643882612220374</v>
      </c>
      <c r="S39" s="5">
        <v>0.4786820916819059</v>
      </c>
      <c r="T39" s="5">
        <v>0.25666268612233178</v>
      </c>
      <c r="U39" s="5">
        <v>0.47499749115534329</v>
      </c>
      <c r="V39" s="5">
        <v>0.83202723437384996</v>
      </c>
      <c r="W39" s="5">
        <v>5.7875194674357311E-2</v>
      </c>
      <c r="X39" s="5">
        <v>0.67014744897116996</v>
      </c>
      <c r="Y39" s="5">
        <v>2.094323307839896E-2</v>
      </c>
      <c r="Z39" s="5">
        <v>5.6114431314108981E-2</v>
      </c>
      <c r="AA39" s="5">
        <v>0.7544947810630851</v>
      </c>
      <c r="AB39" s="5">
        <v>0.11513200408941804</v>
      </c>
      <c r="AC39" s="5">
        <v>0.25245247757550227</v>
      </c>
      <c r="AD39" s="5">
        <v>0.90422170023311688</v>
      </c>
      <c r="AE39" s="5">
        <v>0.93180040935180897</v>
      </c>
    </row>
    <row r="40" spans="4:31" x14ac:dyDescent="0.25">
      <c r="D40" s="3">
        <f t="shared" si="4"/>
        <v>43</v>
      </c>
      <c r="E40" s="5">
        <v>0.51547560453269237</v>
      </c>
      <c r="F40" s="5">
        <v>9.4757081477994998E-2</v>
      </c>
      <c r="G40" s="5">
        <v>8.3554195139202259E-2</v>
      </c>
      <c r="H40" s="5">
        <v>0.69348259858691752</v>
      </c>
      <c r="I40" s="5">
        <v>0.79264547290951604</v>
      </c>
      <c r="J40" s="5">
        <v>0.2565513217155746</v>
      </c>
      <c r="K40" s="5">
        <v>0.31472226297383166</v>
      </c>
      <c r="L40" s="5">
        <v>0.43434465136986067</v>
      </c>
      <c r="M40" s="5">
        <v>0.3458142112297965</v>
      </c>
      <c r="N40" s="5">
        <v>0.31050030205598311</v>
      </c>
      <c r="O40" s="5">
        <v>0.14736974872817665</v>
      </c>
      <c r="P40" s="5">
        <v>9.3526744441690957E-2</v>
      </c>
      <c r="Q40" s="5">
        <v>0.3585692675129406</v>
      </c>
      <c r="R40" s="5">
        <v>0.24102464468954488</v>
      </c>
      <c r="S40" s="5">
        <v>0.30678283851386301</v>
      </c>
      <c r="T40" s="5">
        <v>5.8606758907122303E-2</v>
      </c>
      <c r="U40" s="5">
        <v>0.31140966428529304</v>
      </c>
      <c r="V40" s="5">
        <v>0.95963964382294142</v>
      </c>
      <c r="W40" s="5">
        <v>0.74637785197495976</v>
      </c>
      <c r="X40" s="5">
        <v>0.29487155613510563</v>
      </c>
      <c r="Y40" s="5">
        <v>0.24457966706797651</v>
      </c>
      <c r="Z40" s="5">
        <v>0.39216472329716712</v>
      </c>
      <c r="AA40" s="5">
        <v>0.96007726455292919</v>
      </c>
      <c r="AB40" s="5">
        <v>0.56415042350946942</v>
      </c>
      <c r="AC40" s="5">
        <v>0.57577585073283311</v>
      </c>
      <c r="AD40" s="5">
        <v>0.7552381868865552</v>
      </c>
      <c r="AE40" s="5">
        <v>0.58829304477274247</v>
      </c>
    </row>
    <row r="41" spans="4:31" x14ac:dyDescent="0.25">
      <c r="D41" s="3">
        <f t="shared" si="4"/>
        <v>44</v>
      </c>
      <c r="E41" s="5">
        <v>0.52055634601116574</v>
      </c>
      <c r="F41" s="5">
        <v>0.16964523138046206</v>
      </c>
      <c r="G41" s="5">
        <v>0.42796932921459496</v>
      </c>
      <c r="H41" s="5">
        <v>0.96396432470255289</v>
      </c>
      <c r="I41" s="5">
        <v>0.94036581753677151</v>
      </c>
      <c r="J41" s="5">
        <v>6.5895140543174024E-3</v>
      </c>
      <c r="K41" s="5">
        <v>0.65399125445015327</v>
      </c>
      <c r="L41" s="5">
        <v>0.83084334590908848</v>
      </c>
      <c r="M41" s="5">
        <v>0.35470593761671998</v>
      </c>
      <c r="N41" s="5">
        <v>0.65433615157007896</v>
      </c>
      <c r="O41" s="5">
        <v>0.8914986238083431</v>
      </c>
      <c r="P41" s="5">
        <v>0.10342453315768219</v>
      </c>
      <c r="Q41" s="5">
        <v>0.89034591404082464</v>
      </c>
      <c r="R41" s="5">
        <v>0.9320509407245241</v>
      </c>
      <c r="S41" s="5">
        <v>0.9447578100759183</v>
      </c>
      <c r="T41" s="5">
        <v>0.29649859363947051</v>
      </c>
      <c r="U41" s="5">
        <v>0.59196948816099393</v>
      </c>
      <c r="V41" s="5">
        <v>0.20322544622928806</v>
      </c>
      <c r="W41" s="5">
        <v>0.40066936039535117</v>
      </c>
      <c r="X41" s="5">
        <v>0.89006475798927842</v>
      </c>
      <c r="Y41" s="5">
        <v>0.90258460720801315</v>
      </c>
      <c r="Z41" s="5">
        <v>0.70598662057213901</v>
      </c>
      <c r="AA41" s="5">
        <v>0.6026257054608023</v>
      </c>
      <c r="AB41" s="5">
        <v>0.93749540535687292</v>
      </c>
      <c r="AC41" s="5">
        <v>0.68557978959904864</v>
      </c>
      <c r="AD41" s="5">
        <v>0.28168525863737448</v>
      </c>
      <c r="AE41" s="5">
        <v>0.57447979894373302</v>
      </c>
    </row>
    <row r="42" spans="4:31" x14ac:dyDescent="0.25">
      <c r="D42" s="3">
        <f t="shared" si="4"/>
        <v>45</v>
      </c>
      <c r="E42" s="5">
        <v>0.66802482146920195</v>
      </c>
      <c r="F42" s="5">
        <v>0.14830953987033524</v>
      </c>
      <c r="G42" s="5">
        <v>0.2793266606078656</v>
      </c>
      <c r="H42" s="5">
        <v>9.78045084237954E-2</v>
      </c>
      <c r="I42" s="5">
        <v>0.12652508470292656</v>
      </c>
      <c r="J42" s="5">
        <v>0.92184242842241826</v>
      </c>
      <c r="K42" s="5">
        <v>0.24106031471266809</v>
      </c>
      <c r="L42" s="5">
        <v>4.6476503378912737E-3</v>
      </c>
      <c r="M42" s="5">
        <v>0.68795145182567297</v>
      </c>
      <c r="N42" s="5">
        <v>7.3690805343631705E-2</v>
      </c>
      <c r="O42" s="5">
        <v>0.43954376487497748</v>
      </c>
      <c r="P42" s="5">
        <v>0.22393277079770235</v>
      </c>
      <c r="Q42" s="5">
        <v>0.44065742618512482</v>
      </c>
      <c r="R42" s="5">
        <v>0.44523299033017982</v>
      </c>
      <c r="S42" s="5">
        <v>0.5053988162989268</v>
      </c>
      <c r="T42" s="5">
        <v>0.95670028999134349</v>
      </c>
      <c r="U42" s="5">
        <v>0.85634755109317706</v>
      </c>
      <c r="V42" s="5">
        <v>0.58831261920959355</v>
      </c>
      <c r="W42" s="5">
        <v>0.12971012692849049</v>
      </c>
      <c r="X42" s="5">
        <v>0.11274343024360411</v>
      </c>
      <c r="Y42" s="5">
        <v>0.22238259910282343</v>
      </c>
      <c r="Z42" s="5">
        <v>0.21385692210053509</v>
      </c>
      <c r="AA42" s="5">
        <v>0.78292396086004046</v>
      </c>
      <c r="AB42" s="5">
        <v>0.32230866584715634</v>
      </c>
      <c r="AC42" s="5">
        <v>0.65191470771605786</v>
      </c>
      <c r="AD42" s="5">
        <v>0.41009724491238719</v>
      </c>
      <c r="AE42" s="5">
        <v>0.60448145779154205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CA8EF-2F90-4661-8B38-AE22D352A923}">
  <sheetPr codeName="Sheet2"/>
  <dimension ref="B2:Q15"/>
  <sheetViews>
    <sheetView workbookViewId="0">
      <selection activeCell="E17" sqref="E17"/>
    </sheetView>
  </sheetViews>
  <sheetFormatPr defaultRowHeight="15" x14ac:dyDescent="0.25"/>
  <cols>
    <col min="2" max="2" width="13" customWidth="1"/>
    <col min="6" max="7" width="10.5703125" bestFit="1" customWidth="1"/>
  </cols>
  <sheetData>
    <row r="2" spans="2:17" x14ac:dyDescent="0.25">
      <c r="F2" t="s">
        <v>0</v>
      </c>
      <c r="G2">
        <v>20</v>
      </c>
      <c r="H2">
        <v>21</v>
      </c>
      <c r="I2">
        <f>H2+1</f>
        <v>22</v>
      </c>
      <c r="J2">
        <f t="shared" ref="J2:M2" si="0">I2+1</f>
        <v>23</v>
      </c>
      <c r="K2">
        <f t="shared" si="0"/>
        <v>24</v>
      </c>
      <c r="L2">
        <f t="shared" si="0"/>
        <v>25</v>
      </c>
      <c r="M2">
        <f t="shared" si="0"/>
        <v>26</v>
      </c>
      <c r="N2">
        <v>27</v>
      </c>
      <c r="O2">
        <v>28</v>
      </c>
      <c r="P2">
        <v>29</v>
      </c>
      <c r="Q2">
        <v>30</v>
      </c>
    </row>
    <row r="3" spans="2:17" x14ac:dyDescent="0.25">
      <c r="F3" s="3" t="s">
        <v>116</v>
      </c>
      <c r="G3" s="3">
        <v>0</v>
      </c>
      <c r="H3" s="3">
        <f>G3+1</f>
        <v>1</v>
      </c>
      <c r="I3" s="3">
        <f t="shared" ref="I3:Q3" si="1">H3+1</f>
        <v>2</v>
      </c>
      <c r="J3" s="3">
        <f t="shared" si="1"/>
        <v>3</v>
      </c>
      <c r="K3" s="3">
        <f>J3+1</f>
        <v>4</v>
      </c>
      <c r="L3" s="3">
        <f t="shared" si="1"/>
        <v>5</v>
      </c>
      <c r="M3" s="3">
        <f t="shared" si="1"/>
        <v>6</v>
      </c>
      <c r="N3" s="3">
        <f t="shared" si="1"/>
        <v>7</v>
      </c>
      <c r="O3" s="3">
        <f t="shared" si="1"/>
        <v>8</v>
      </c>
      <c r="P3" s="3">
        <f t="shared" si="1"/>
        <v>9</v>
      </c>
      <c r="Q3" s="3">
        <f t="shared" si="1"/>
        <v>10</v>
      </c>
    </row>
    <row r="4" spans="2:17" x14ac:dyDescent="0.25">
      <c r="B4" s="3" t="s">
        <v>1</v>
      </c>
      <c r="C4" s="8" t="s">
        <v>2</v>
      </c>
      <c r="F4" s="1"/>
      <c r="G4" s="5">
        <f t="shared" ref="G4:Q4" si="2">HLOOKUP(G$2,Age_vs_gen,IF($C$4 = "F", 2, 3),FALSE)</f>
        <v>0.18243898147320836</v>
      </c>
      <c r="H4" s="5">
        <f t="shared" si="2"/>
        <v>0.55470472291945339</v>
      </c>
      <c r="I4" s="5">
        <f t="shared" si="2"/>
        <v>0.28830576308079714</v>
      </c>
      <c r="J4" s="5">
        <f t="shared" si="2"/>
        <v>0.46342590395880534</v>
      </c>
      <c r="K4" s="5">
        <f t="shared" si="2"/>
        <v>0.52089224089445574</v>
      </c>
      <c r="L4" s="5">
        <f t="shared" si="2"/>
        <v>0.32558604389343815</v>
      </c>
      <c r="M4" s="5">
        <f t="shared" si="2"/>
        <v>0.78308365899188437</v>
      </c>
      <c r="N4" s="5">
        <f t="shared" si="2"/>
        <v>0.93663783733298089</v>
      </c>
      <c r="O4" s="5">
        <f t="shared" si="2"/>
        <v>0.66086239640917821</v>
      </c>
      <c r="P4" s="5">
        <f t="shared" si="2"/>
        <v>0.61929418846596929</v>
      </c>
      <c r="Q4" s="5">
        <f t="shared" si="2"/>
        <v>0.96941757324246691</v>
      </c>
    </row>
    <row r="5" spans="2:17" x14ac:dyDescent="0.25">
      <c r="C5" s="9"/>
      <c r="G5" s="6"/>
      <c r="H5" s="6"/>
      <c r="I5" s="6"/>
      <c r="J5" s="6"/>
      <c r="K5" s="6"/>
      <c r="L5" s="6"/>
      <c r="M5" s="6"/>
      <c r="N5" s="6"/>
      <c r="O5" s="6"/>
      <c r="P5" s="6"/>
      <c r="Q5" s="6"/>
    </row>
    <row r="6" spans="2:17" x14ac:dyDescent="0.25">
      <c r="B6" s="3" t="s">
        <v>114</v>
      </c>
      <c r="C6" s="8" t="s">
        <v>113</v>
      </c>
    </row>
    <row r="7" spans="2:17" x14ac:dyDescent="0.25">
      <c r="C7" s="9"/>
      <c r="F7" s="3" t="s">
        <v>116</v>
      </c>
      <c r="G7" s="3">
        <v>0</v>
      </c>
      <c r="H7" s="3">
        <v>1</v>
      </c>
      <c r="I7" s="3">
        <v>2</v>
      </c>
      <c r="J7" s="3">
        <v>3</v>
      </c>
      <c r="K7" s="3">
        <v>4</v>
      </c>
      <c r="L7" s="3">
        <v>5</v>
      </c>
      <c r="M7" s="3">
        <v>6</v>
      </c>
      <c r="N7" s="3">
        <v>6</v>
      </c>
      <c r="O7" s="3">
        <v>6</v>
      </c>
      <c r="P7" s="3">
        <v>6</v>
      </c>
      <c r="Q7" s="3">
        <v>6</v>
      </c>
    </row>
    <row r="8" spans="2:17" x14ac:dyDescent="0.25">
      <c r="B8" s="3" t="s">
        <v>4</v>
      </c>
      <c r="C8" s="8">
        <v>2</v>
      </c>
      <c r="F8" s="1"/>
      <c r="G8" s="5">
        <f t="shared" ref="G8:Q8" si="3">VLOOKUP($C$6, door_vs_type, IF($C$8 = 2, 2,3),FALSE)</f>
        <v>0.14938567797688529</v>
      </c>
      <c r="H8" s="5">
        <f t="shared" si="3"/>
        <v>0.14938567797688529</v>
      </c>
      <c r="I8" s="5">
        <f t="shared" si="3"/>
        <v>0.14938567797688529</v>
      </c>
      <c r="J8" s="5">
        <f t="shared" si="3"/>
        <v>0.14938567797688529</v>
      </c>
      <c r="K8" s="5">
        <f t="shared" si="3"/>
        <v>0.14938567797688529</v>
      </c>
      <c r="L8" s="5">
        <f t="shared" si="3"/>
        <v>0.14938567797688529</v>
      </c>
      <c r="M8" s="5">
        <f t="shared" si="3"/>
        <v>0.14938567797688529</v>
      </c>
      <c r="N8" s="5">
        <f t="shared" si="3"/>
        <v>0.14938567797688529</v>
      </c>
      <c r="O8" s="5">
        <f t="shared" si="3"/>
        <v>0.14938567797688529</v>
      </c>
      <c r="P8" s="5">
        <f t="shared" si="3"/>
        <v>0.14938567797688529</v>
      </c>
      <c r="Q8" s="5">
        <f t="shared" si="3"/>
        <v>0.14938567797688529</v>
      </c>
    </row>
    <row r="9" spans="2:17" x14ac:dyDescent="0.25">
      <c r="C9" s="9"/>
    </row>
    <row r="10" spans="2:17" x14ac:dyDescent="0.25">
      <c r="B10" s="3" t="s">
        <v>0</v>
      </c>
      <c r="C10" s="8">
        <v>25</v>
      </c>
      <c r="F10">
        <v>1</v>
      </c>
      <c r="G10">
        <f>C12</f>
        <v>2</v>
      </c>
      <c r="H10">
        <f>G10+1</f>
        <v>3</v>
      </c>
      <c r="I10">
        <f t="shared" ref="I10:Q10" si="4">H10+1</f>
        <v>4</v>
      </c>
      <c r="J10">
        <f t="shared" si="4"/>
        <v>5</v>
      </c>
      <c r="K10">
        <f t="shared" si="4"/>
        <v>6</v>
      </c>
      <c r="L10">
        <f t="shared" si="4"/>
        <v>7</v>
      </c>
      <c r="M10">
        <f t="shared" si="4"/>
        <v>8</v>
      </c>
      <c r="N10">
        <f t="shared" si="4"/>
        <v>9</v>
      </c>
      <c r="O10">
        <f t="shared" si="4"/>
        <v>10</v>
      </c>
      <c r="P10">
        <f t="shared" si="4"/>
        <v>11</v>
      </c>
      <c r="Q10">
        <f t="shared" si="4"/>
        <v>12</v>
      </c>
    </row>
    <row r="11" spans="2:17" x14ac:dyDescent="0.25">
      <c r="C11" s="9"/>
      <c r="F11" s="3" t="s">
        <v>116</v>
      </c>
      <c r="G11" s="3">
        <v>0</v>
      </c>
      <c r="H11" s="3">
        <v>1</v>
      </c>
      <c r="I11" s="3">
        <f>H11+1</f>
        <v>2</v>
      </c>
      <c r="J11" s="3">
        <f t="shared" ref="J11:Q11" si="5">I11+1</f>
        <v>3</v>
      </c>
      <c r="K11" s="3">
        <f t="shared" si="5"/>
        <v>4</v>
      </c>
      <c r="L11" s="3">
        <f t="shared" si="5"/>
        <v>5</v>
      </c>
      <c r="M11" s="3">
        <f t="shared" si="5"/>
        <v>6</v>
      </c>
      <c r="N11" s="3">
        <f t="shared" si="5"/>
        <v>7</v>
      </c>
      <c r="O11" s="3">
        <f t="shared" si="5"/>
        <v>8</v>
      </c>
      <c r="P11" s="3">
        <f t="shared" si="5"/>
        <v>9</v>
      </c>
      <c r="Q11" s="3">
        <f t="shared" si="5"/>
        <v>10</v>
      </c>
    </row>
    <row r="12" spans="2:17" x14ac:dyDescent="0.25">
      <c r="B12" s="3" t="s">
        <v>115</v>
      </c>
      <c r="C12" s="8">
        <v>2</v>
      </c>
      <c r="F12" s="5">
        <f t="shared" ref="F12:Q12" si="6">VLOOKUP($C$10, age_vs_lic, F10+1, FALSE)</f>
        <v>0.16562260752441671</v>
      </c>
      <c r="G12" s="5">
        <f t="shared" si="6"/>
        <v>0.10142446978248199</v>
      </c>
      <c r="H12" s="5">
        <f t="shared" si="6"/>
        <v>0.45716113203843101</v>
      </c>
      <c r="I12" s="5">
        <f t="shared" si="6"/>
        <v>0.39298238695738597</v>
      </c>
      <c r="J12" s="5">
        <f t="shared" si="6"/>
        <v>0.80098203485162933</v>
      </c>
      <c r="K12" s="5">
        <f t="shared" si="6"/>
        <v>0.40020168709097326</v>
      </c>
      <c r="L12" s="5">
        <f t="shared" si="6"/>
        <v>0.61357661058212187</v>
      </c>
      <c r="M12" s="5">
        <f t="shared" si="6"/>
        <v>0.93525587440701907</v>
      </c>
      <c r="N12" s="5">
        <f t="shared" si="6"/>
        <v>0.21147527118384923</v>
      </c>
      <c r="O12" s="5">
        <f t="shared" si="6"/>
        <v>0.21540214089632759</v>
      </c>
      <c r="P12" s="5">
        <f t="shared" si="6"/>
        <v>0.23514905120596996</v>
      </c>
      <c r="Q12" s="5">
        <f t="shared" si="6"/>
        <v>4.9239770787988246E-2</v>
      </c>
    </row>
    <row r="14" spans="2:17" x14ac:dyDescent="0.25">
      <c r="B14" s="3" t="s">
        <v>120</v>
      </c>
      <c r="C14" s="14">
        <v>0.03</v>
      </c>
      <c r="F14" s="3" t="s">
        <v>116</v>
      </c>
      <c r="G14" s="3">
        <v>0</v>
      </c>
      <c r="H14" s="3">
        <v>1</v>
      </c>
      <c r="I14" s="3">
        <f>H14+1</f>
        <v>2</v>
      </c>
      <c r="J14" s="3">
        <f t="shared" ref="J14:Q14" si="7">I14+1</f>
        <v>3</v>
      </c>
      <c r="K14" s="3">
        <f t="shared" si="7"/>
        <v>4</v>
      </c>
      <c r="L14" s="3">
        <f t="shared" si="7"/>
        <v>5</v>
      </c>
      <c r="M14" s="3">
        <f t="shared" si="7"/>
        <v>6</v>
      </c>
      <c r="N14" s="3">
        <f t="shared" si="7"/>
        <v>7</v>
      </c>
      <c r="O14" s="3">
        <f t="shared" si="7"/>
        <v>8</v>
      </c>
      <c r="P14" s="3">
        <f t="shared" si="7"/>
        <v>9</v>
      </c>
      <c r="Q14" s="3">
        <f t="shared" si="7"/>
        <v>10</v>
      </c>
    </row>
    <row r="15" spans="2:17" x14ac:dyDescent="0.25">
      <c r="F15" s="1"/>
      <c r="G15" s="4">
        <f>G12*G8*G4</f>
        <v>2.7641992668369043E-3</v>
      </c>
      <c r="H15" s="4">
        <f t="shared" ref="H15:Q15" si="8">H12*H8*H4</f>
        <v>3.7882630284283965E-2</v>
      </c>
      <c r="I15" s="4">
        <f t="shared" si="8"/>
        <v>1.6925260918047743E-2</v>
      </c>
      <c r="J15" s="4">
        <f t="shared" si="8"/>
        <v>5.5451339764083368E-2</v>
      </c>
      <c r="K15" s="4">
        <f t="shared" si="8"/>
        <v>3.1141230270706713E-2</v>
      </c>
      <c r="L15" s="4">
        <f t="shared" si="8"/>
        <v>2.9843072862054325E-2</v>
      </c>
      <c r="M15" s="4">
        <f t="shared" si="8"/>
        <v>0.10940761946357418</v>
      </c>
      <c r="N15" s="4">
        <f t="shared" si="8"/>
        <v>2.9589678807930234E-2</v>
      </c>
      <c r="O15" s="4">
        <f t="shared" si="8"/>
        <v>2.126522679182842E-2</v>
      </c>
      <c r="P15" s="4">
        <f t="shared" si="8"/>
        <v>2.1754504595518732E-2</v>
      </c>
      <c r="Q15" s="4">
        <f t="shared" si="8"/>
        <v>7.1307608801771203E-3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7996B-BFB1-4E81-AF5C-A7ADBA23159B}">
  <sheetPr codeName="Sheet3"/>
  <dimension ref="A1:F101"/>
  <sheetViews>
    <sheetView workbookViewId="0">
      <selection activeCell="B13" sqref="B13"/>
    </sheetView>
  </sheetViews>
  <sheetFormatPr defaultRowHeight="15" x14ac:dyDescent="0.25"/>
  <cols>
    <col min="1" max="1" width="12.7109375" bestFit="1" customWidth="1"/>
    <col min="2" max="2" width="12.7109375" customWidth="1"/>
    <col min="3" max="3" width="4.85546875" bestFit="1" customWidth="1"/>
    <col min="4" max="4" width="8.140625" bestFit="1" customWidth="1"/>
    <col min="5" max="5" width="6.140625" bestFit="1" customWidth="1"/>
    <col min="6" max="6" width="14" bestFit="1" customWidth="1"/>
    <col min="7" max="7" width="9" customWidth="1"/>
  </cols>
  <sheetData>
    <row r="1" spans="1:6" x14ac:dyDescent="0.25">
      <c r="A1" s="7" t="s">
        <v>9</v>
      </c>
      <c r="B1" s="7" t="s">
        <v>1</v>
      </c>
      <c r="C1" s="7" t="s">
        <v>10</v>
      </c>
      <c r="D1" s="7" t="s">
        <v>11</v>
      </c>
      <c r="E1" s="7" t="s">
        <v>4</v>
      </c>
      <c r="F1" s="7" t="s">
        <v>12</v>
      </c>
    </row>
    <row r="2" spans="1:6" x14ac:dyDescent="0.25">
      <c r="A2" s="7" t="s">
        <v>13</v>
      </c>
      <c r="B2" s="1" t="s">
        <v>2</v>
      </c>
      <c r="C2" s="1">
        <v>29</v>
      </c>
      <c r="D2" s="1" t="s">
        <v>6</v>
      </c>
      <c r="E2" s="1">
        <v>4</v>
      </c>
      <c r="F2" s="1">
        <v>10</v>
      </c>
    </row>
    <row r="3" spans="1:6" x14ac:dyDescent="0.25">
      <c r="A3" s="7" t="s">
        <v>14</v>
      </c>
      <c r="B3" s="1" t="s">
        <v>3</v>
      </c>
      <c r="C3" s="1">
        <v>57</v>
      </c>
      <c r="D3" s="1" t="s">
        <v>7</v>
      </c>
      <c r="E3" s="1">
        <v>4</v>
      </c>
      <c r="F3" s="1">
        <v>27</v>
      </c>
    </row>
    <row r="4" spans="1:6" x14ac:dyDescent="0.25">
      <c r="A4" s="7" t="s">
        <v>15</v>
      </c>
      <c r="B4" s="1" t="s">
        <v>2</v>
      </c>
      <c r="C4" s="1">
        <v>24</v>
      </c>
      <c r="D4" s="1" t="s">
        <v>6</v>
      </c>
      <c r="E4" s="1">
        <v>4</v>
      </c>
      <c r="F4" s="1">
        <v>7</v>
      </c>
    </row>
    <row r="5" spans="1:6" x14ac:dyDescent="0.25">
      <c r="A5" s="7" t="s">
        <v>16</v>
      </c>
      <c r="B5" s="1" t="s">
        <v>3</v>
      </c>
      <c r="C5" s="1">
        <v>35</v>
      </c>
      <c r="D5" s="1" t="s">
        <v>6</v>
      </c>
      <c r="E5" s="1">
        <v>2</v>
      </c>
      <c r="F5" s="1">
        <v>11</v>
      </c>
    </row>
    <row r="6" spans="1:6" x14ac:dyDescent="0.25">
      <c r="A6" s="7" t="s">
        <v>17</v>
      </c>
      <c r="B6" s="1" t="s">
        <v>3</v>
      </c>
      <c r="C6" s="1">
        <v>29</v>
      </c>
      <c r="D6" s="1" t="s">
        <v>113</v>
      </c>
      <c r="E6" s="1">
        <v>4</v>
      </c>
      <c r="F6" s="1">
        <v>5</v>
      </c>
    </row>
    <row r="7" spans="1:6" x14ac:dyDescent="0.25">
      <c r="A7" s="7" t="s">
        <v>18</v>
      </c>
      <c r="B7" s="1" t="s">
        <v>3</v>
      </c>
      <c r="C7" s="1">
        <v>58</v>
      </c>
      <c r="D7" s="1" t="s">
        <v>7</v>
      </c>
      <c r="E7" s="1">
        <v>4</v>
      </c>
      <c r="F7" s="1">
        <v>24</v>
      </c>
    </row>
    <row r="8" spans="1:6" x14ac:dyDescent="0.25">
      <c r="A8" s="7" t="s">
        <v>19</v>
      </c>
      <c r="B8" s="1" t="s">
        <v>3</v>
      </c>
      <c r="C8" s="1">
        <v>46</v>
      </c>
      <c r="D8" s="1" t="s">
        <v>7</v>
      </c>
      <c r="E8" s="1">
        <v>4</v>
      </c>
      <c r="F8" s="1">
        <v>10</v>
      </c>
    </row>
    <row r="9" spans="1:6" x14ac:dyDescent="0.25">
      <c r="A9" s="7" t="s">
        <v>20</v>
      </c>
      <c r="B9" s="1" t="s">
        <v>3</v>
      </c>
      <c r="C9" s="1">
        <v>60</v>
      </c>
      <c r="D9" s="1" t="s">
        <v>113</v>
      </c>
      <c r="E9" s="1">
        <v>2</v>
      </c>
      <c r="F9" s="1">
        <v>18</v>
      </c>
    </row>
    <row r="10" spans="1:6" x14ac:dyDescent="0.25">
      <c r="A10" s="7" t="s">
        <v>21</v>
      </c>
      <c r="B10" s="1" t="s">
        <v>3</v>
      </c>
      <c r="C10" s="1">
        <v>29</v>
      </c>
      <c r="D10" s="1" t="s">
        <v>6</v>
      </c>
      <c r="E10" s="1">
        <v>2</v>
      </c>
      <c r="F10" s="1">
        <v>4</v>
      </c>
    </row>
    <row r="11" spans="1:6" x14ac:dyDescent="0.25">
      <c r="A11" s="7" t="s">
        <v>22</v>
      </c>
      <c r="B11" s="1" t="s">
        <v>2</v>
      </c>
      <c r="C11" s="1">
        <v>27</v>
      </c>
      <c r="D11" s="1" t="s">
        <v>7</v>
      </c>
      <c r="E11" s="1">
        <v>2</v>
      </c>
      <c r="F11" s="1">
        <v>9</v>
      </c>
    </row>
    <row r="12" spans="1:6" x14ac:dyDescent="0.25">
      <c r="A12" s="7" t="s">
        <v>23</v>
      </c>
      <c r="B12" s="1" t="s">
        <v>2</v>
      </c>
      <c r="C12" s="1">
        <v>41</v>
      </c>
      <c r="D12" s="1" t="s">
        <v>7</v>
      </c>
      <c r="E12" s="1">
        <v>2</v>
      </c>
      <c r="F12" s="1">
        <v>20</v>
      </c>
    </row>
    <row r="13" spans="1:6" x14ac:dyDescent="0.25">
      <c r="A13" s="7" t="s">
        <v>24</v>
      </c>
      <c r="B13" s="1" t="s">
        <v>2</v>
      </c>
      <c r="C13" s="1">
        <v>54</v>
      </c>
      <c r="D13" s="1" t="s">
        <v>113</v>
      </c>
      <c r="E13" s="1">
        <v>4</v>
      </c>
      <c r="F13" s="1">
        <v>30</v>
      </c>
    </row>
    <row r="14" spans="1:6" x14ac:dyDescent="0.25">
      <c r="A14" s="7" t="s">
        <v>25</v>
      </c>
      <c r="B14" s="1" t="s">
        <v>3</v>
      </c>
      <c r="C14" s="1">
        <v>50</v>
      </c>
      <c r="D14" s="1" t="s">
        <v>113</v>
      </c>
      <c r="E14" s="1">
        <v>2</v>
      </c>
      <c r="F14" s="1">
        <v>27</v>
      </c>
    </row>
    <row r="15" spans="1:6" x14ac:dyDescent="0.25">
      <c r="A15" s="7" t="s">
        <v>26</v>
      </c>
      <c r="B15" s="1" t="s">
        <v>3</v>
      </c>
      <c r="C15" s="1">
        <v>58</v>
      </c>
      <c r="D15" s="1" t="s">
        <v>113</v>
      </c>
      <c r="E15" s="1">
        <v>4</v>
      </c>
      <c r="F15" s="1">
        <v>43</v>
      </c>
    </row>
    <row r="16" spans="1:6" x14ac:dyDescent="0.25">
      <c r="A16" s="7" t="s">
        <v>27</v>
      </c>
      <c r="B16" s="1" t="s">
        <v>2</v>
      </c>
      <c r="C16" s="1">
        <v>53</v>
      </c>
      <c r="D16" s="1" t="s">
        <v>6</v>
      </c>
      <c r="E16" s="1">
        <v>2</v>
      </c>
      <c r="F16" s="1">
        <v>17</v>
      </c>
    </row>
    <row r="17" spans="1:6" x14ac:dyDescent="0.25">
      <c r="A17" s="7" t="s">
        <v>28</v>
      </c>
      <c r="B17" s="1" t="s">
        <v>2</v>
      </c>
      <c r="C17" s="1">
        <v>57</v>
      </c>
      <c r="D17" s="1" t="s">
        <v>7</v>
      </c>
      <c r="E17" s="1">
        <v>4</v>
      </c>
      <c r="F17" s="1">
        <v>33</v>
      </c>
    </row>
    <row r="18" spans="1:6" x14ac:dyDescent="0.25">
      <c r="A18" s="7" t="s">
        <v>29</v>
      </c>
      <c r="B18" s="1" t="s">
        <v>3</v>
      </c>
      <c r="C18" s="1">
        <v>56</v>
      </c>
      <c r="D18" s="1" t="s">
        <v>7</v>
      </c>
      <c r="E18" s="1">
        <v>4</v>
      </c>
      <c r="F18" s="1">
        <v>38</v>
      </c>
    </row>
    <row r="19" spans="1:6" x14ac:dyDescent="0.25">
      <c r="A19" s="7" t="s">
        <v>30</v>
      </c>
      <c r="B19" s="1" t="s">
        <v>3</v>
      </c>
      <c r="C19" s="1">
        <v>55</v>
      </c>
      <c r="D19" s="1" t="s">
        <v>6</v>
      </c>
      <c r="E19" s="1">
        <v>4</v>
      </c>
      <c r="F19" s="1">
        <v>30</v>
      </c>
    </row>
    <row r="20" spans="1:6" x14ac:dyDescent="0.25">
      <c r="A20" s="7" t="s">
        <v>31</v>
      </c>
      <c r="B20" s="1" t="s">
        <v>3</v>
      </c>
      <c r="C20" s="1">
        <v>20</v>
      </c>
      <c r="D20" s="1" t="s">
        <v>7</v>
      </c>
      <c r="E20" s="1">
        <v>4</v>
      </c>
      <c r="F20" s="1">
        <v>5</v>
      </c>
    </row>
    <row r="21" spans="1:6" x14ac:dyDescent="0.25">
      <c r="A21" s="7" t="s">
        <v>32</v>
      </c>
      <c r="B21" s="1" t="s">
        <v>3</v>
      </c>
      <c r="C21" s="1">
        <v>44</v>
      </c>
      <c r="D21" s="1" t="s">
        <v>6</v>
      </c>
      <c r="E21" s="1">
        <v>4</v>
      </c>
      <c r="F21" s="1">
        <v>4</v>
      </c>
    </row>
    <row r="22" spans="1:6" x14ac:dyDescent="0.25">
      <c r="A22" s="7" t="s">
        <v>33</v>
      </c>
      <c r="B22" s="1" t="s">
        <v>2</v>
      </c>
      <c r="C22" s="1">
        <v>58</v>
      </c>
      <c r="D22" s="1" t="s">
        <v>113</v>
      </c>
      <c r="E22" s="1">
        <v>4</v>
      </c>
      <c r="F22" s="1">
        <v>27</v>
      </c>
    </row>
    <row r="23" spans="1:6" x14ac:dyDescent="0.25">
      <c r="A23" s="7" t="s">
        <v>34</v>
      </c>
      <c r="B23" s="1" t="s">
        <v>3</v>
      </c>
      <c r="C23" s="1">
        <v>21</v>
      </c>
      <c r="D23" s="1" t="s">
        <v>113</v>
      </c>
      <c r="E23" s="1">
        <v>2</v>
      </c>
      <c r="F23" s="1">
        <v>2</v>
      </c>
    </row>
    <row r="24" spans="1:6" x14ac:dyDescent="0.25">
      <c r="A24" s="7" t="s">
        <v>35</v>
      </c>
      <c r="B24" s="1" t="s">
        <v>3</v>
      </c>
      <c r="C24" s="1">
        <v>40</v>
      </c>
      <c r="D24" s="1" t="s">
        <v>6</v>
      </c>
      <c r="E24" s="1">
        <v>2</v>
      </c>
      <c r="F24" s="1">
        <v>19</v>
      </c>
    </row>
    <row r="25" spans="1:6" x14ac:dyDescent="0.25">
      <c r="A25" s="7" t="s">
        <v>36</v>
      </c>
      <c r="B25" s="1" t="s">
        <v>3</v>
      </c>
      <c r="C25" s="1">
        <v>56</v>
      </c>
      <c r="D25" s="1" t="s">
        <v>7</v>
      </c>
      <c r="E25" s="1">
        <v>2</v>
      </c>
      <c r="F25" s="1">
        <v>25</v>
      </c>
    </row>
    <row r="26" spans="1:6" x14ac:dyDescent="0.25">
      <c r="A26" s="7" t="s">
        <v>37</v>
      </c>
      <c r="B26" s="1" t="s">
        <v>2</v>
      </c>
      <c r="C26" s="1">
        <v>54</v>
      </c>
      <c r="D26" s="1" t="s">
        <v>7</v>
      </c>
      <c r="E26" s="1">
        <v>4</v>
      </c>
      <c r="F26" s="1">
        <v>10</v>
      </c>
    </row>
    <row r="27" spans="1:6" x14ac:dyDescent="0.25">
      <c r="A27" s="7" t="s">
        <v>38</v>
      </c>
      <c r="B27" s="1" t="s">
        <v>3</v>
      </c>
      <c r="C27" s="1">
        <v>37</v>
      </c>
      <c r="D27" s="1" t="s">
        <v>113</v>
      </c>
      <c r="E27" s="1">
        <v>4</v>
      </c>
      <c r="F27" s="1">
        <v>20</v>
      </c>
    </row>
    <row r="28" spans="1:6" x14ac:dyDescent="0.25">
      <c r="A28" s="7" t="s">
        <v>39</v>
      </c>
      <c r="B28" s="1" t="s">
        <v>2</v>
      </c>
      <c r="C28" s="1">
        <v>37</v>
      </c>
      <c r="D28" s="1" t="s">
        <v>7</v>
      </c>
      <c r="E28" s="1">
        <v>2</v>
      </c>
      <c r="F28" s="1">
        <v>11</v>
      </c>
    </row>
    <row r="29" spans="1:6" x14ac:dyDescent="0.25">
      <c r="A29" s="7" t="s">
        <v>40</v>
      </c>
      <c r="B29" s="1" t="s">
        <v>3</v>
      </c>
      <c r="C29" s="1">
        <v>31</v>
      </c>
      <c r="D29" s="1" t="s">
        <v>6</v>
      </c>
      <c r="E29" s="1">
        <v>2</v>
      </c>
      <c r="F29" s="1">
        <v>16</v>
      </c>
    </row>
    <row r="30" spans="1:6" x14ac:dyDescent="0.25">
      <c r="A30" s="7" t="s">
        <v>41</v>
      </c>
      <c r="B30" s="1" t="s">
        <v>2</v>
      </c>
      <c r="C30" s="1">
        <v>53</v>
      </c>
      <c r="D30" s="1" t="s">
        <v>113</v>
      </c>
      <c r="E30" s="1">
        <v>4</v>
      </c>
      <c r="F30" s="1">
        <v>20</v>
      </c>
    </row>
    <row r="31" spans="1:6" x14ac:dyDescent="0.25">
      <c r="A31" s="7" t="s">
        <v>42</v>
      </c>
      <c r="B31" s="1" t="s">
        <v>2</v>
      </c>
      <c r="C31" s="1">
        <v>25</v>
      </c>
      <c r="D31" s="1" t="s">
        <v>6</v>
      </c>
      <c r="E31" s="1">
        <v>4</v>
      </c>
      <c r="F31" s="1">
        <v>2</v>
      </c>
    </row>
    <row r="32" spans="1:6" x14ac:dyDescent="0.25">
      <c r="A32" s="7" t="s">
        <v>43</v>
      </c>
      <c r="B32" s="1" t="s">
        <v>3</v>
      </c>
      <c r="C32" s="1">
        <v>48</v>
      </c>
      <c r="D32" s="1" t="s">
        <v>6</v>
      </c>
      <c r="E32" s="1">
        <v>4</v>
      </c>
      <c r="F32" s="1">
        <v>18</v>
      </c>
    </row>
    <row r="33" spans="1:6" x14ac:dyDescent="0.25">
      <c r="A33" s="7" t="s">
        <v>44</v>
      </c>
      <c r="B33" s="1" t="s">
        <v>3</v>
      </c>
      <c r="C33" s="1">
        <v>46</v>
      </c>
      <c r="D33" s="1" t="s">
        <v>6</v>
      </c>
      <c r="E33" s="1">
        <v>4</v>
      </c>
      <c r="F33" s="1">
        <v>11</v>
      </c>
    </row>
    <row r="34" spans="1:6" x14ac:dyDescent="0.25">
      <c r="A34" s="7" t="s">
        <v>45</v>
      </c>
      <c r="B34" s="1" t="s">
        <v>2</v>
      </c>
      <c r="C34" s="1">
        <v>50</v>
      </c>
      <c r="D34" s="1" t="s">
        <v>6</v>
      </c>
      <c r="E34" s="1">
        <v>2</v>
      </c>
      <c r="F34" s="1">
        <v>1</v>
      </c>
    </row>
    <row r="35" spans="1:6" x14ac:dyDescent="0.25">
      <c r="A35" s="7" t="s">
        <v>46</v>
      </c>
      <c r="B35" s="1" t="s">
        <v>3</v>
      </c>
      <c r="C35" s="1">
        <v>21</v>
      </c>
      <c r="D35" s="1" t="s">
        <v>7</v>
      </c>
      <c r="E35" s="1">
        <v>4</v>
      </c>
      <c r="F35" s="1">
        <v>1</v>
      </c>
    </row>
    <row r="36" spans="1:6" x14ac:dyDescent="0.25">
      <c r="A36" s="7" t="s">
        <v>47</v>
      </c>
      <c r="B36" s="1" t="s">
        <v>2</v>
      </c>
      <c r="C36" s="1">
        <v>57</v>
      </c>
      <c r="D36" s="1" t="s">
        <v>113</v>
      </c>
      <c r="E36" s="1">
        <v>4</v>
      </c>
      <c r="F36" s="1">
        <v>29</v>
      </c>
    </row>
    <row r="37" spans="1:6" x14ac:dyDescent="0.25">
      <c r="A37" s="7" t="s">
        <v>48</v>
      </c>
      <c r="B37" s="1" t="s">
        <v>3</v>
      </c>
      <c r="C37" s="1">
        <v>57</v>
      </c>
      <c r="D37" s="1" t="s">
        <v>7</v>
      </c>
      <c r="E37" s="1">
        <v>4</v>
      </c>
      <c r="F37" s="1">
        <v>36</v>
      </c>
    </row>
    <row r="38" spans="1:6" x14ac:dyDescent="0.25">
      <c r="A38" s="7" t="s">
        <v>49</v>
      </c>
      <c r="B38" s="1" t="s">
        <v>3</v>
      </c>
      <c r="C38" s="1">
        <v>53</v>
      </c>
      <c r="D38" s="1" t="s">
        <v>7</v>
      </c>
      <c r="E38" s="1">
        <v>2</v>
      </c>
      <c r="F38" s="1">
        <v>2</v>
      </c>
    </row>
    <row r="39" spans="1:6" x14ac:dyDescent="0.25">
      <c r="A39" s="7" t="s">
        <v>50</v>
      </c>
      <c r="B39" s="1" t="s">
        <v>3</v>
      </c>
      <c r="C39" s="1">
        <v>52</v>
      </c>
      <c r="D39" s="1" t="s">
        <v>113</v>
      </c>
      <c r="E39" s="1">
        <v>4</v>
      </c>
      <c r="F39" s="1">
        <v>7</v>
      </c>
    </row>
    <row r="40" spans="1:6" x14ac:dyDescent="0.25">
      <c r="A40" s="7" t="s">
        <v>51</v>
      </c>
      <c r="B40" s="1" t="s">
        <v>3</v>
      </c>
      <c r="C40" s="1">
        <v>35</v>
      </c>
      <c r="D40" s="1" t="s">
        <v>6</v>
      </c>
      <c r="E40" s="1">
        <v>2</v>
      </c>
      <c r="F40" s="1">
        <v>3</v>
      </c>
    </row>
    <row r="41" spans="1:6" x14ac:dyDescent="0.25">
      <c r="A41" s="7" t="s">
        <v>52</v>
      </c>
      <c r="B41" s="1" t="s">
        <v>3</v>
      </c>
      <c r="C41" s="1">
        <v>42</v>
      </c>
      <c r="D41" s="1" t="s">
        <v>7</v>
      </c>
      <c r="E41" s="1">
        <v>4</v>
      </c>
      <c r="F41" s="1">
        <v>7</v>
      </c>
    </row>
    <row r="42" spans="1:6" x14ac:dyDescent="0.25">
      <c r="A42" s="7" t="s">
        <v>53</v>
      </c>
      <c r="B42" s="1" t="s">
        <v>2</v>
      </c>
      <c r="C42" s="1">
        <v>46</v>
      </c>
      <c r="D42" s="1" t="s">
        <v>6</v>
      </c>
      <c r="E42" s="1">
        <v>2</v>
      </c>
      <c r="F42" s="1">
        <v>22</v>
      </c>
    </row>
    <row r="43" spans="1:6" x14ac:dyDescent="0.25">
      <c r="A43" s="7" t="s">
        <v>54</v>
      </c>
      <c r="B43" s="1" t="s">
        <v>2</v>
      </c>
      <c r="C43" s="1">
        <v>40</v>
      </c>
      <c r="D43" s="1" t="s">
        <v>6</v>
      </c>
      <c r="E43" s="1">
        <v>2</v>
      </c>
      <c r="F43" s="1">
        <v>19</v>
      </c>
    </row>
    <row r="44" spans="1:6" x14ac:dyDescent="0.25">
      <c r="A44" s="7" t="s">
        <v>55</v>
      </c>
      <c r="B44" s="1" t="s">
        <v>2</v>
      </c>
      <c r="C44" s="1">
        <v>41</v>
      </c>
      <c r="D44" s="1" t="s">
        <v>6</v>
      </c>
      <c r="E44" s="1">
        <v>4</v>
      </c>
      <c r="F44" s="1">
        <v>15</v>
      </c>
    </row>
    <row r="45" spans="1:6" x14ac:dyDescent="0.25">
      <c r="A45" s="7" t="s">
        <v>56</v>
      </c>
      <c r="B45" s="1" t="s">
        <v>3</v>
      </c>
      <c r="C45" s="1">
        <v>56</v>
      </c>
      <c r="D45" s="1" t="s">
        <v>7</v>
      </c>
      <c r="E45" s="1">
        <v>4</v>
      </c>
      <c r="F45" s="1">
        <v>25</v>
      </c>
    </row>
    <row r="46" spans="1:6" x14ac:dyDescent="0.25">
      <c r="A46" s="7" t="s">
        <v>57</v>
      </c>
      <c r="B46" s="1" t="s">
        <v>2</v>
      </c>
      <c r="C46" s="1">
        <v>47</v>
      </c>
      <c r="D46" s="1" t="s">
        <v>7</v>
      </c>
      <c r="E46" s="1">
        <v>2</v>
      </c>
      <c r="F46" s="1">
        <v>28</v>
      </c>
    </row>
    <row r="47" spans="1:6" x14ac:dyDescent="0.25">
      <c r="A47" s="7" t="s">
        <v>58</v>
      </c>
      <c r="B47" s="1" t="s">
        <v>3</v>
      </c>
      <c r="C47" s="1">
        <v>26</v>
      </c>
      <c r="D47" s="1" t="s">
        <v>7</v>
      </c>
      <c r="E47" s="1">
        <v>4</v>
      </c>
      <c r="F47" s="1">
        <v>1</v>
      </c>
    </row>
    <row r="48" spans="1:6" x14ac:dyDescent="0.25">
      <c r="A48" s="7" t="s">
        <v>59</v>
      </c>
      <c r="B48" s="1" t="s">
        <v>2</v>
      </c>
      <c r="C48" s="1">
        <v>21</v>
      </c>
      <c r="D48" s="1" t="s">
        <v>6</v>
      </c>
      <c r="E48" s="1">
        <v>2</v>
      </c>
      <c r="F48" s="1">
        <v>3</v>
      </c>
    </row>
    <row r="49" spans="1:6" x14ac:dyDescent="0.25">
      <c r="A49" s="7" t="s">
        <v>60</v>
      </c>
      <c r="B49" s="1" t="s">
        <v>3</v>
      </c>
      <c r="C49" s="1">
        <v>42</v>
      </c>
      <c r="D49" s="1" t="s">
        <v>6</v>
      </c>
      <c r="E49" s="1">
        <v>4</v>
      </c>
      <c r="F49" s="1">
        <v>24</v>
      </c>
    </row>
    <row r="50" spans="1:6" x14ac:dyDescent="0.25">
      <c r="A50" s="7" t="s">
        <v>61</v>
      </c>
      <c r="B50" s="1" t="s">
        <v>3</v>
      </c>
      <c r="C50" s="1">
        <v>34</v>
      </c>
      <c r="D50" s="1" t="s">
        <v>7</v>
      </c>
      <c r="E50" s="1">
        <v>4</v>
      </c>
      <c r="F50" s="1">
        <v>13</v>
      </c>
    </row>
    <row r="51" spans="1:6" x14ac:dyDescent="0.25">
      <c r="A51" s="7" t="s">
        <v>62</v>
      </c>
      <c r="B51" s="1" t="s">
        <v>2</v>
      </c>
      <c r="C51" s="1">
        <v>20</v>
      </c>
      <c r="D51" s="1" t="s">
        <v>6</v>
      </c>
      <c r="E51" s="1">
        <v>4</v>
      </c>
      <c r="F51" s="1">
        <v>1</v>
      </c>
    </row>
    <row r="52" spans="1:6" x14ac:dyDescent="0.25">
      <c r="A52" s="7" t="s">
        <v>63</v>
      </c>
      <c r="B52" s="1" t="s">
        <v>3</v>
      </c>
      <c r="C52" s="1">
        <v>42</v>
      </c>
      <c r="D52" s="1" t="s">
        <v>7</v>
      </c>
      <c r="E52" s="1">
        <v>4</v>
      </c>
      <c r="F52" s="1">
        <v>23</v>
      </c>
    </row>
    <row r="53" spans="1:6" x14ac:dyDescent="0.25">
      <c r="A53" s="7" t="s">
        <v>64</v>
      </c>
      <c r="B53" s="1" t="s">
        <v>3</v>
      </c>
      <c r="C53" s="1">
        <v>53</v>
      </c>
      <c r="D53" s="1" t="s">
        <v>113</v>
      </c>
      <c r="E53" s="1">
        <v>4</v>
      </c>
      <c r="F53" s="1">
        <v>38</v>
      </c>
    </row>
    <row r="54" spans="1:6" x14ac:dyDescent="0.25">
      <c r="A54" s="7" t="s">
        <v>65</v>
      </c>
      <c r="B54" s="1" t="s">
        <v>2</v>
      </c>
      <c r="C54" s="1">
        <v>41</v>
      </c>
      <c r="D54" s="1" t="s">
        <v>113</v>
      </c>
      <c r="E54" s="1">
        <v>2</v>
      </c>
      <c r="F54" s="1">
        <v>2</v>
      </c>
    </row>
    <row r="55" spans="1:6" x14ac:dyDescent="0.25">
      <c r="A55" s="7" t="s">
        <v>66</v>
      </c>
      <c r="B55" s="1" t="s">
        <v>2</v>
      </c>
      <c r="C55" s="1">
        <v>42</v>
      </c>
      <c r="D55" s="1" t="s">
        <v>7</v>
      </c>
      <c r="E55" s="1">
        <v>2</v>
      </c>
      <c r="F55" s="1">
        <v>26</v>
      </c>
    </row>
    <row r="56" spans="1:6" x14ac:dyDescent="0.25">
      <c r="A56" s="7" t="s">
        <v>67</v>
      </c>
      <c r="B56" s="1" t="s">
        <v>3</v>
      </c>
      <c r="C56" s="1">
        <v>26</v>
      </c>
      <c r="D56" s="1" t="s">
        <v>6</v>
      </c>
      <c r="E56" s="1">
        <v>2</v>
      </c>
      <c r="F56" s="1">
        <v>5</v>
      </c>
    </row>
    <row r="57" spans="1:6" x14ac:dyDescent="0.25">
      <c r="A57" s="7" t="s">
        <v>68</v>
      </c>
      <c r="B57" s="1" t="s">
        <v>3</v>
      </c>
      <c r="C57" s="1">
        <v>43</v>
      </c>
      <c r="D57" s="1" t="s">
        <v>6</v>
      </c>
      <c r="E57" s="1">
        <v>4</v>
      </c>
      <c r="F57" s="1">
        <v>12</v>
      </c>
    </row>
    <row r="58" spans="1:6" x14ac:dyDescent="0.25">
      <c r="A58" s="7" t="s">
        <v>69</v>
      </c>
      <c r="B58" s="1" t="s">
        <v>2</v>
      </c>
      <c r="C58" s="1">
        <v>21</v>
      </c>
      <c r="D58" s="1" t="s">
        <v>6</v>
      </c>
      <c r="E58" s="1">
        <v>2</v>
      </c>
      <c r="F58" s="1">
        <v>3</v>
      </c>
    </row>
    <row r="59" spans="1:6" x14ac:dyDescent="0.25">
      <c r="A59" s="7" t="s">
        <v>70</v>
      </c>
      <c r="B59" s="1" t="s">
        <v>2</v>
      </c>
      <c r="C59" s="1">
        <v>46</v>
      </c>
      <c r="D59" s="1" t="s">
        <v>6</v>
      </c>
      <c r="E59" s="1">
        <v>4</v>
      </c>
      <c r="F59" s="1">
        <v>15</v>
      </c>
    </row>
    <row r="60" spans="1:6" x14ac:dyDescent="0.25">
      <c r="A60" s="7" t="s">
        <v>71</v>
      </c>
      <c r="B60" s="1" t="s">
        <v>3</v>
      </c>
      <c r="C60" s="1">
        <v>52</v>
      </c>
      <c r="D60" s="1" t="s">
        <v>7</v>
      </c>
      <c r="E60" s="1">
        <v>2</v>
      </c>
      <c r="F60" s="1">
        <v>29</v>
      </c>
    </row>
    <row r="61" spans="1:6" x14ac:dyDescent="0.25">
      <c r="A61" s="7" t="s">
        <v>72</v>
      </c>
      <c r="B61" s="1" t="s">
        <v>3</v>
      </c>
      <c r="C61" s="1">
        <v>35</v>
      </c>
      <c r="D61" s="1" t="s">
        <v>7</v>
      </c>
      <c r="E61" s="1">
        <v>4</v>
      </c>
      <c r="F61" s="1">
        <v>17</v>
      </c>
    </row>
    <row r="62" spans="1:6" x14ac:dyDescent="0.25">
      <c r="A62" s="7" t="s">
        <v>73</v>
      </c>
      <c r="B62" s="1" t="s">
        <v>3</v>
      </c>
      <c r="C62" s="1">
        <v>30</v>
      </c>
      <c r="D62" s="1" t="s">
        <v>113</v>
      </c>
      <c r="E62" s="1">
        <v>4</v>
      </c>
      <c r="F62" s="1">
        <v>8</v>
      </c>
    </row>
    <row r="63" spans="1:6" x14ac:dyDescent="0.25">
      <c r="A63" s="7" t="s">
        <v>74</v>
      </c>
      <c r="B63" s="1" t="s">
        <v>3</v>
      </c>
      <c r="C63" s="1">
        <v>43</v>
      </c>
      <c r="D63" s="1" t="s">
        <v>113</v>
      </c>
      <c r="E63" s="1">
        <v>2</v>
      </c>
      <c r="F63" s="1">
        <v>22</v>
      </c>
    </row>
    <row r="64" spans="1:6" x14ac:dyDescent="0.25">
      <c r="A64" s="7" t="s">
        <v>75</v>
      </c>
      <c r="B64" s="1" t="s">
        <v>2</v>
      </c>
      <c r="C64" s="1">
        <v>26</v>
      </c>
      <c r="D64" s="1" t="s">
        <v>7</v>
      </c>
      <c r="E64" s="1">
        <v>4</v>
      </c>
      <c r="F64" s="1">
        <v>10</v>
      </c>
    </row>
    <row r="65" spans="1:6" x14ac:dyDescent="0.25">
      <c r="A65" s="7" t="s">
        <v>76</v>
      </c>
      <c r="B65" s="1" t="s">
        <v>3</v>
      </c>
      <c r="C65" s="1">
        <v>22</v>
      </c>
      <c r="D65" s="1" t="s">
        <v>7</v>
      </c>
      <c r="E65" s="1">
        <v>4</v>
      </c>
      <c r="F65" s="1">
        <v>2</v>
      </c>
    </row>
    <row r="66" spans="1:6" x14ac:dyDescent="0.25">
      <c r="A66" s="7" t="s">
        <v>77</v>
      </c>
      <c r="B66" s="1" t="s">
        <v>3</v>
      </c>
      <c r="C66" s="1">
        <v>22</v>
      </c>
      <c r="D66" s="1" t="s">
        <v>113</v>
      </c>
      <c r="E66" s="1">
        <v>2</v>
      </c>
      <c r="F66" s="1">
        <v>3</v>
      </c>
    </row>
    <row r="67" spans="1:6" x14ac:dyDescent="0.25">
      <c r="A67" s="7" t="s">
        <v>78</v>
      </c>
      <c r="B67" s="1" t="s">
        <v>2</v>
      </c>
      <c r="C67" s="1">
        <v>56</v>
      </c>
      <c r="D67" s="1" t="s">
        <v>7</v>
      </c>
      <c r="E67" s="1">
        <v>2</v>
      </c>
      <c r="F67" s="1">
        <v>37</v>
      </c>
    </row>
    <row r="68" spans="1:6" x14ac:dyDescent="0.25">
      <c r="A68" s="7" t="s">
        <v>79</v>
      </c>
      <c r="B68" s="1" t="s">
        <v>3</v>
      </c>
      <c r="C68" s="1">
        <v>49</v>
      </c>
      <c r="D68" s="1" t="s">
        <v>113</v>
      </c>
      <c r="E68" s="1">
        <v>4</v>
      </c>
      <c r="F68" s="1">
        <v>34</v>
      </c>
    </row>
    <row r="69" spans="1:6" x14ac:dyDescent="0.25">
      <c r="A69" s="7" t="s">
        <v>80</v>
      </c>
      <c r="B69" s="1" t="s">
        <v>3</v>
      </c>
      <c r="C69" s="1">
        <v>32</v>
      </c>
      <c r="D69" s="1" t="s">
        <v>6</v>
      </c>
      <c r="E69" s="1">
        <v>4</v>
      </c>
      <c r="F69" s="1">
        <v>5</v>
      </c>
    </row>
    <row r="70" spans="1:6" x14ac:dyDescent="0.25">
      <c r="A70" s="7" t="s">
        <v>81</v>
      </c>
      <c r="B70" s="1" t="s">
        <v>3</v>
      </c>
      <c r="C70" s="1">
        <v>25</v>
      </c>
      <c r="D70" s="1" t="s">
        <v>6</v>
      </c>
      <c r="E70" s="1">
        <v>2</v>
      </c>
      <c r="F70" s="1">
        <v>5</v>
      </c>
    </row>
    <row r="71" spans="1:6" x14ac:dyDescent="0.25">
      <c r="A71" s="7" t="s">
        <v>82</v>
      </c>
      <c r="B71" s="1" t="s">
        <v>3</v>
      </c>
      <c r="C71" s="1">
        <v>57</v>
      </c>
      <c r="D71" s="1" t="s">
        <v>7</v>
      </c>
      <c r="E71" s="1">
        <v>2</v>
      </c>
      <c r="F71" s="1">
        <v>35</v>
      </c>
    </row>
    <row r="72" spans="1:6" x14ac:dyDescent="0.25">
      <c r="A72" s="7" t="s">
        <v>83</v>
      </c>
      <c r="B72" s="1" t="s">
        <v>2</v>
      </c>
      <c r="C72" s="1">
        <v>60</v>
      </c>
      <c r="D72" s="1" t="s">
        <v>7</v>
      </c>
      <c r="E72" s="1">
        <v>4</v>
      </c>
      <c r="F72" s="1">
        <v>21</v>
      </c>
    </row>
    <row r="73" spans="1:6" x14ac:dyDescent="0.25">
      <c r="A73" s="7" t="s">
        <v>84</v>
      </c>
      <c r="B73" s="1" t="s">
        <v>3</v>
      </c>
      <c r="C73" s="1">
        <v>31</v>
      </c>
      <c r="D73" s="1" t="s">
        <v>7</v>
      </c>
      <c r="E73" s="1">
        <v>4</v>
      </c>
      <c r="F73" s="1">
        <v>6</v>
      </c>
    </row>
    <row r="74" spans="1:6" x14ac:dyDescent="0.25">
      <c r="A74" s="7" t="s">
        <v>85</v>
      </c>
      <c r="B74" s="1" t="s">
        <v>3</v>
      </c>
      <c r="C74" s="1">
        <v>27</v>
      </c>
      <c r="D74" s="1" t="s">
        <v>6</v>
      </c>
      <c r="E74" s="1">
        <v>4</v>
      </c>
      <c r="F74" s="1">
        <v>8</v>
      </c>
    </row>
    <row r="75" spans="1:6" x14ac:dyDescent="0.25">
      <c r="A75" s="7" t="s">
        <v>86</v>
      </c>
      <c r="B75" s="1" t="s">
        <v>2</v>
      </c>
      <c r="C75" s="1">
        <v>50</v>
      </c>
      <c r="D75" s="1" t="s">
        <v>7</v>
      </c>
      <c r="E75" s="1">
        <v>4</v>
      </c>
      <c r="F75" s="1">
        <v>26</v>
      </c>
    </row>
    <row r="76" spans="1:6" x14ac:dyDescent="0.25">
      <c r="A76" s="7" t="s">
        <v>87</v>
      </c>
      <c r="B76" s="1" t="s">
        <v>3</v>
      </c>
      <c r="C76" s="1">
        <v>20</v>
      </c>
      <c r="D76" s="1" t="s">
        <v>7</v>
      </c>
      <c r="E76" s="1">
        <v>2</v>
      </c>
      <c r="F76" s="1">
        <v>5</v>
      </c>
    </row>
    <row r="77" spans="1:6" x14ac:dyDescent="0.25">
      <c r="A77" s="7" t="s">
        <v>88</v>
      </c>
      <c r="B77" s="1" t="s">
        <v>2</v>
      </c>
      <c r="C77" s="1">
        <v>27</v>
      </c>
      <c r="D77" s="1" t="s">
        <v>6</v>
      </c>
      <c r="E77" s="1">
        <v>4</v>
      </c>
      <c r="F77" s="1">
        <v>2</v>
      </c>
    </row>
    <row r="78" spans="1:6" x14ac:dyDescent="0.25">
      <c r="A78" s="7" t="s">
        <v>89</v>
      </c>
      <c r="B78" s="1" t="s">
        <v>2</v>
      </c>
      <c r="C78" s="1">
        <v>29</v>
      </c>
      <c r="D78" s="1" t="s">
        <v>7</v>
      </c>
      <c r="E78" s="1">
        <v>4</v>
      </c>
      <c r="F78" s="1">
        <v>2</v>
      </c>
    </row>
    <row r="79" spans="1:6" x14ac:dyDescent="0.25">
      <c r="A79" s="7" t="s">
        <v>90</v>
      </c>
      <c r="B79" s="1" t="s">
        <v>3</v>
      </c>
      <c r="C79" s="1">
        <v>25</v>
      </c>
      <c r="D79" s="1" t="s">
        <v>7</v>
      </c>
      <c r="E79" s="1">
        <v>2</v>
      </c>
      <c r="F79" s="1">
        <v>7</v>
      </c>
    </row>
    <row r="80" spans="1:6" x14ac:dyDescent="0.25">
      <c r="A80" s="7" t="s">
        <v>91</v>
      </c>
      <c r="B80" s="1" t="s">
        <v>3</v>
      </c>
      <c r="C80" s="1">
        <v>36</v>
      </c>
      <c r="D80" s="1" t="s">
        <v>113</v>
      </c>
      <c r="E80" s="1">
        <v>4</v>
      </c>
      <c r="F80" s="1">
        <v>17</v>
      </c>
    </row>
    <row r="81" spans="1:6" x14ac:dyDescent="0.25">
      <c r="A81" s="7" t="s">
        <v>92</v>
      </c>
      <c r="B81" s="1" t="s">
        <v>3</v>
      </c>
      <c r="C81" s="1">
        <v>33</v>
      </c>
      <c r="D81" s="1" t="s">
        <v>113</v>
      </c>
      <c r="E81" s="1">
        <v>4</v>
      </c>
      <c r="F81" s="1">
        <v>7</v>
      </c>
    </row>
    <row r="82" spans="1:6" x14ac:dyDescent="0.25">
      <c r="A82" s="7" t="s">
        <v>93</v>
      </c>
      <c r="B82" s="1" t="s">
        <v>3</v>
      </c>
      <c r="C82" s="1">
        <v>54</v>
      </c>
      <c r="D82" s="1" t="s">
        <v>7</v>
      </c>
      <c r="E82" s="1">
        <v>4</v>
      </c>
      <c r="F82" s="1">
        <v>1</v>
      </c>
    </row>
    <row r="83" spans="1:6" x14ac:dyDescent="0.25">
      <c r="A83" s="7" t="s">
        <v>94</v>
      </c>
      <c r="B83" s="1" t="s">
        <v>2</v>
      </c>
      <c r="C83" s="1">
        <v>21</v>
      </c>
      <c r="D83" s="1" t="s">
        <v>7</v>
      </c>
      <c r="E83" s="1">
        <v>4</v>
      </c>
      <c r="F83" s="1">
        <v>2</v>
      </c>
    </row>
    <row r="84" spans="1:6" x14ac:dyDescent="0.25">
      <c r="A84" s="7" t="s">
        <v>95</v>
      </c>
      <c r="B84" s="1" t="s">
        <v>2</v>
      </c>
      <c r="C84" s="1">
        <v>39</v>
      </c>
      <c r="D84" s="1" t="s">
        <v>6</v>
      </c>
      <c r="E84" s="1">
        <v>2</v>
      </c>
      <c r="F84" s="1">
        <v>17</v>
      </c>
    </row>
    <row r="85" spans="1:6" x14ac:dyDescent="0.25">
      <c r="A85" s="7" t="s">
        <v>96</v>
      </c>
      <c r="B85" s="1" t="s">
        <v>2</v>
      </c>
      <c r="C85" s="1">
        <v>22</v>
      </c>
      <c r="D85" s="1" t="s">
        <v>7</v>
      </c>
      <c r="E85" s="1">
        <v>4</v>
      </c>
      <c r="F85" s="1">
        <v>4</v>
      </c>
    </row>
    <row r="86" spans="1:6" x14ac:dyDescent="0.25">
      <c r="A86" s="7" t="s">
        <v>97</v>
      </c>
      <c r="B86" s="1" t="s">
        <v>2</v>
      </c>
      <c r="C86" s="1">
        <v>44</v>
      </c>
      <c r="D86" s="1" t="s">
        <v>113</v>
      </c>
      <c r="E86" s="1">
        <v>4</v>
      </c>
      <c r="F86" s="1">
        <v>13</v>
      </c>
    </row>
    <row r="87" spans="1:6" x14ac:dyDescent="0.25">
      <c r="A87" s="7" t="s">
        <v>98</v>
      </c>
      <c r="B87" s="1" t="s">
        <v>3</v>
      </c>
      <c r="C87" s="1">
        <v>39</v>
      </c>
      <c r="D87" s="1" t="s">
        <v>6</v>
      </c>
      <c r="E87" s="1">
        <v>2</v>
      </c>
      <c r="F87" s="1">
        <v>13</v>
      </c>
    </row>
    <row r="88" spans="1:6" x14ac:dyDescent="0.25">
      <c r="A88" s="7" t="s">
        <v>99</v>
      </c>
      <c r="B88" s="1" t="s">
        <v>3</v>
      </c>
      <c r="C88" s="1">
        <v>56</v>
      </c>
      <c r="D88" s="1" t="s">
        <v>6</v>
      </c>
      <c r="E88" s="1">
        <v>4</v>
      </c>
      <c r="F88" s="1">
        <v>36</v>
      </c>
    </row>
    <row r="89" spans="1:6" x14ac:dyDescent="0.25">
      <c r="A89" s="7" t="s">
        <v>100</v>
      </c>
      <c r="B89" s="1" t="s">
        <v>2</v>
      </c>
      <c r="C89" s="1">
        <v>28</v>
      </c>
      <c r="D89" s="1" t="s">
        <v>7</v>
      </c>
      <c r="E89" s="1">
        <v>2</v>
      </c>
      <c r="F89" s="1">
        <v>6</v>
      </c>
    </row>
    <row r="90" spans="1:6" x14ac:dyDescent="0.25">
      <c r="A90" s="7" t="s">
        <v>101</v>
      </c>
      <c r="B90" s="1" t="s">
        <v>3</v>
      </c>
      <c r="C90" s="1">
        <v>56</v>
      </c>
      <c r="D90" s="1" t="s">
        <v>6</v>
      </c>
      <c r="E90" s="1">
        <v>2</v>
      </c>
      <c r="F90" s="1">
        <v>19</v>
      </c>
    </row>
    <row r="91" spans="1:6" x14ac:dyDescent="0.25">
      <c r="A91" s="7" t="s">
        <v>102</v>
      </c>
      <c r="B91" s="1" t="s">
        <v>3</v>
      </c>
      <c r="C91" s="1">
        <v>28</v>
      </c>
      <c r="D91" s="1" t="s">
        <v>113</v>
      </c>
      <c r="E91" s="1">
        <v>4</v>
      </c>
      <c r="F91" s="1">
        <v>9</v>
      </c>
    </row>
    <row r="92" spans="1:6" x14ac:dyDescent="0.25">
      <c r="A92" s="7" t="s">
        <v>103</v>
      </c>
      <c r="B92" s="1" t="s">
        <v>3</v>
      </c>
      <c r="C92" s="1">
        <v>59</v>
      </c>
      <c r="D92" s="1" t="s">
        <v>6</v>
      </c>
      <c r="E92" s="1">
        <v>4</v>
      </c>
      <c r="F92" s="1">
        <v>41</v>
      </c>
    </row>
    <row r="93" spans="1:6" x14ac:dyDescent="0.25">
      <c r="A93" s="7" t="s">
        <v>104</v>
      </c>
      <c r="B93" s="1" t="s">
        <v>3</v>
      </c>
      <c r="C93" s="1">
        <v>57</v>
      </c>
      <c r="D93" s="1" t="s">
        <v>113</v>
      </c>
      <c r="E93" s="1">
        <v>4</v>
      </c>
      <c r="F93" s="1">
        <v>19</v>
      </c>
    </row>
    <row r="94" spans="1:6" x14ac:dyDescent="0.25">
      <c r="A94" s="7" t="s">
        <v>105</v>
      </c>
      <c r="B94" s="1" t="s">
        <v>3</v>
      </c>
      <c r="C94" s="1">
        <v>31</v>
      </c>
      <c r="D94" s="1" t="s">
        <v>113</v>
      </c>
      <c r="E94" s="1">
        <v>4</v>
      </c>
      <c r="F94" s="1">
        <v>5</v>
      </c>
    </row>
    <row r="95" spans="1:6" x14ac:dyDescent="0.25">
      <c r="A95" s="7" t="s">
        <v>106</v>
      </c>
      <c r="B95" s="1" t="s">
        <v>3</v>
      </c>
      <c r="C95" s="1">
        <v>48</v>
      </c>
      <c r="D95" s="1" t="s">
        <v>7</v>
      </c>
      <c r="E95" s="1">
        <v>2</v>
      </c>
      <c r="F95" s="1">
        <v>21</v>
      </c>
    </row>
    <row r="96" spans="1:6" x14ac:dyDescent="0.25">
      <c r="A96" s="7" t="s">
        <v>107</v>
      </c>
      <c r="B96" s="1" t="s">
        <v>3</v>
      </c>
      <c r="C96" s="1">
        <v>22</v>
      </c>
      <c r="D96" s="1" t="s">
        <v>113</v>
      </c>
      <c r="E96" s="1">
        <v>2</v>
      </c>
      <c r="F96" s="1">
        <v>1</v>
      </c>
    </row>
    <row r="97" spans="1:6" x14ac:dyDescent="0.25">
      <c r="A97" s="7" t="s">
        <v>108</v>
      </c>
      <c r="B97" s="1" t="s">
        <v>3</v>
      </c>
      <c r="C97" s="1">
        <v>35</v>
      </c>
      <c r="D97" s="1" t="s">
        <v>113</v>
      </c>
      <c r="E97" s="1">
        <v>2</v>
      </c>
      <c r="F97" s="1">
        <v>19</v>
      </c>
    </row>
    <row r="98" spans="1:6" x14ac:dyDescent="0.25">
      <c r="A98" s="7" t="s">
        <v>109</v>
      </c>
      <c r="B98" s="1" t="s">
        <v>3</v>
      </c>
      <c r="C98" s="1">
        <v>21</v>
      </c>
      <c r="D98" s="1" t="s">
        <v>113</v>
      </c>
      <c r="E98" s="1">
        <v>2</v>
      </c>
      <c r="F98" s="1">
        <v>4</v>
      </c>
    </row>
    <row r="99" spans="1:6" x14ac:dyDescent="0.25">
      <c r="A99" s="7" t="s">
        <v>110</v>
      </c>
      <c r="B99" s="1" t="s">
        <v>3</v>
      </c>
      <c r="C99" s="1">
        <v>39</v>
      </c>
      <c r="D99" s="1" t="s">
        <v>6</v>
      </c>
      <c r="E99" s="1">
        <v>4</v>
      </c>
      <c r="F99" s="1">
        <v>19</v>
      </c>
    </row>
    <row r="100" spans="1:6" x14ac:dyDescent="0.25">
      <c r="A100" s="7" t="s">
        <v>111</v>
      </c>
      <c r="B100" s="1" t="s">
        <v>3</v>
      </c>
      <c r="C100" s="1">
        <v>51</v>
      </c>
      <c r="D100" s="1" t="s">
        <v>6</v>
      </c>
      <c r="E100" s="1">
        <v>4</v>
      </c>
      <c r="F100" s="1">
        <v>28</v>
      </c>
    </row>
    <row r="101" spans="1:6" x14ac:dyDescent="0.25">
      <c r="A101" s="7" t="s">
        <v>112</v>
      </c>
      <c r="B101" s="1" t="s">
        <v>3</v>
      </c>
      <c r="C101" s="1">
        <v>28</v>
      </c>
      <c r="D101" s="1" t="s">
        <v>6</v>
      </c>
      <c r="E101" s="1">
        <v>2</v>
      </c>
      <c r="F101" s="1">
        <v>1</v>
      </c>
    </row>
  </sheetData>
  <phoneticPr fontId="3" type="noConversion"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01A5A-2388-48B4-8330-5C2C50F5625F}">
  <sheetPr codeName="Sheet4"/>
  <dimension ref="A1:K101"/>
  <sheetViews>
    <sheetView workbookViewId="0">
      <selection activeCell="B11" sqref="B11"/>
    </sheetView>
  </sheetViews>
  <sheetFormatPr defaultRowHeight="15" x14ac:dyDescent="0.25"/>
  <cols>
    <col min="1" max="1" width="12.7109375" bestFit="1" customWidth="1"/>
    <col min="2" max="2" width="12.7109375" customWidth="1"/>
    <col min="3" max="3" width="4.85546875" bestFit="1" customWidth="1"/>
    <col min="4" max="4" width="8.140625" bestFit="1" customWidth="1"/>
    <col min="5" max="5" width="6.140625" bestFit="1" customWidth="1"/>
    <col min="6" max="6" width="14" bestFit="1" customWidth="1"/>
    <col min="7" max="7" width="9.85546875" bestFit="1" customWidth="1"/>
  </cols>
  <sheetData>
    <row r="1" spans="1:11" x14ac:dyDescent="0.25">
      <c r="A1" s="7" t="s">
        <v>9</v>
      </c>
      <c r="B1" s="7" t="s">
        <v>1</v>
      </c>
      <c r="C1" s="7" t="s">
        <v>10</v>
      </c>
      <c r="D1" s="7" t="s">
        <v>11</v>
      </c>
      <c r="E1" s="7" t="s">
        <v>4</v>
      </c>
      <c r="F1" s="7" t="s">
        <v>12</v>
      </c>
      <c r="G1" s="18" t="s">
        <v>121</v>
      </c>
      <c r="H1" s="18" t="s">
        <v>122</v>
      </c>
      <c r="I1" s="18" t="s">
        <v>123</v>
      </c>
      <c r="J1" s="18" t="s">
        <v>124</v>
      </c>
      <c r="K1" s="18" t="s">
        <v>125</v>
      </c>
    </row>
    <row r="2" spans="1:11" x14ac:dyDescent="0.25">
      <c r="A2" s="7" t="s">
        <v>13</v>
      </c>
      <c r="B2" s="1" t="s">
        <v>2</v>
      </c>
      <c r="C2" s="1">
        <v>29</v>
      </c>
      <c r="D2" s="1" t="s">
        <v>6</v>
      </c>
      <c r="E2" s="1">
        <v>4</v>
      </c>
      <c r="F2" s="1">
        <v>10</v>
      </c>
      <c r="G2" s="23">
        <v>1871.98</v>
      </c>
      <c r="H2" s="1"/>
      <c r="I2" s="1"/>
      <c r="J2" s="1"/>
      <c r="K2" s="1"/>
    </row>
    <row r="3" spans="1:11" x14ac:dyDescent="0.25">
      <c r="A3" s="7" t="s">
        <v>14</v>
      </c>
      <c r="B3" s="1" t="s">
        <v>3</v>
      </c>
      <c r="C3" s="1">
        <v>57</v>
      </c>
      <c r="D3" s="1" t="s">
        <v>7</v>
      </c>
      <c r="E3" s="1">
        <v>4</v>
      </c>
      <c r="F3" s="1">
        <v>27</v>
      </c>
      <c r="G3" s="1"/>
      <c r="H3" s="1"/>
      <c r="I3" s="1"/>
      <c r="J3" s="1"/>
      <c r="K3" s="1"/>
    </row>
    <row r="4" spans="1:11" x14ac:dyDescent="0.25">
      <c r="A4" s="7" t="s">
        <v>15</v>
      </c>
      <c r="B4" s="1" t="s">
        <v>2</v>
      </c>
      <c r="C4" s="1">
        <v>24</v>
      </c>
      <c r="D4" s="1" t="s">
        <v>6</v>
      </c>
      <c r="E4" s="1">
        <v>4</v>
      </c>
      <c r="F4" s="1">
        <v>7</v>
      </c>
      <c r="G4" s="1"/>
      <c r="H4" s="1"/>
      <c r="I4" s="1"/>
      <c r="J4" s="1"/>
      <c r="K4" s="1"/>
    </row>
    <row r="5" spans="1:11" x14ac:dyDescent="0.25">
      <c r="A5" s="7" t="s">
        <v>16</v>
      </c>
      <c r="B5" s="1" t="s">
        <v>3</v>
      </c>
      <c r="C5" s="1">
        <v>35</v>
      </c>
      <c r="D5" s="1" t="s">
        <v>6</v>
      </c>
      <c r="E5" s="1">
        <v>2</v>
      </c>
      <c r="F5" s="1">
        <v>11</v>
      </c>
      <c r="G5" s="1"/>
      <c r="H5" s="1"/>
      <c r="I5" s="1"/>
      <c r="J5" s="1"/>
      <c r="K5" s="1"/>
    </row>
    <row r="6" spans="1:11" x14ac:dyDescent="0.25">
      <c r="A6" s="7" t="s">
        <v>17</v>
      </c>
      <c r="B6" s="1" t="s">
        <v>3</v>
      </c>
      <c r="C6" s="1">
        <v>29</v>
      </c>
      <c r="D6" s="1" t="s">
        <v>113</v>
      </c>
      <c r="E6" s="1">
        <v>4</v>
      </c>
      <c r="F6" s="1">
        <v>5</v>
      </c>
      <c r="G6" s="1"/>
      <c r="H6" s="1"/>
      <c r="I6" s="1"/>
      <c r="J6" s="1"/>
      <c r="K6" s="1"/>
    </row>
    <row r="7" spans="1:11" x14ac:dyDescent="0.25">
      <c r="A7" s="7" t="s">
        <v>18</v>
      </c>
      <c r="B7" s="1" t="s">
        <v>3</v>
      </c>
      <c r="C7" s="1">
        <v>58</v>
      </c>
      <c r="D7" s="1" t="s">
        <v>7</v>
      </c>
      <c r="E7" s="1">
        <v>4</v>
      </c>
      <c r="F7" s="1">
        <v>24</v>
      </c>
      <c r="G7" s="1"/>
      <c r="H7" s="1"/>
      <c r="I7" s="1"/>
      <c r="J7" s="1"/>
      <c r="K7" s="1"/>
    </row>
    <row r="8" spans="1:11" x14ac:dyDescent="0.25">
      <c r="A8" s="7" t="s">
        <v>19</v>
      </c>
      <c r="B8" s="1" t="s">
        <v>3</v>
      </c>
      <c r="C8" s="1">
        <v>46</v>
      </c>
      <c r="D8" s="1" t="s">
        <v>7</v>
      </c>
      <c r="E8" s="1">
        <v>4</v>
      </c>
      <c r="F8" s="1">
        <v>10</v>
      </c>
      <c r="G8" s="1"/>
      <c r="H8" s="1"/>
      <c r="I8" s="1"/>
      <c r="J8" s="1"/>
      <c r="K8" s="1"/>
    </row>
    <row r="9" spans="1:11" x14ac:dyDescent="0.25">
      <c r="A9" s="7" t="s">
        <v>20</v>
      </c>
      <c r="B9" s="1" t="s">
        <v>3</v>
      </c>
      <c r="C9" s="1">
        <v>60</v>
      </c>
      <c r="D9" s="1" t="s">
        <v>113</v>
      </c>
      <c r="E9" s="1">
        <v>2</v>
      </c>
      <c r="F9" s="1">
        <v>18</v>
      </c>
      <c r="G9" s="1"/>
      <c r="H9" s="1"/>
      <c r="I9" s="1"/>
      <c r="J9" s="1"/>
      <c r="K9" s="1"/>
    </row>
    <row r="10" spans="1:11" x14ac:dyDescent="0.25">
      <c r="A10" s="7" t="s">
        <v>21</v>
      </c>
      <c r="B10" s="1" t="s">
        <v>3</v>
      </c>
      <c r="C10" s="1">
        <v>29</v>
      </c>
      <c r="D10" s="1" t="s">
        <v>6</v>
      </c>
      <c r="E10" s="1">
        <v>2</v>
      </c>
      <c r="F10" s="1">
        <v>4</v>
      </c>
      <c r="G10" s="1"/>
      <c r="H10" s="1"/>
      <c r="I10" s="1"/>
      <c r="J10" s="1"/>
      <c r="K10" s="1"/>
    </row>
    <row r="11" spans="1:11" x14ac:dyDescent="0.25">
      <c r="A11" s="7" t="s">
        <v>22</v>
      </c>
      <c r="B11" s="1" t="s">
        <v>2</v>
      </c>
      <c r="C11" s="1">
        <v>27</v>
      </c>
      <c r="D11" s="1" t="s">
        <v>7</v>
      </c>
      <c r="E11" s="1">
        <v>2</v>
      </c>
      <c r="F11" s="1">
        <v>9</v>
      </c>
      <c r="G11" s="1"/>
      <c r="H11" s="1"/>
      <c r="I11" s="1"/>
      <c r="J11" s="1"/>
      <c r="K11" s="1"/>
    </row>
    <row r="12" spans="1:11" x14ac:dyDescent="0.25">
      <c r="A12" s="7" t="s">
        <v>23</v>
      </c>
      <c r="B12" s="1" t="s">
        <v>2</v>
      </c>
      <c r="C12" s="1">
        <v>41</v>
      </c>
      <c r="D12" s="1" t="s">
        <v>7</v>
      </c>
      <c r="E12" s="1">
        <v>2</v>
      </c>
      <c r="F12" s="1">
        <v>20</v>
      </c>
      <c r="G12" s="1"/>
      <c r="H12" s="1"/>
      <c r="I12" s="1"/>
      <c r="J12" s="1"/>
      <c r="K12" s="1"/>
    </row>
    <row r="13" spans="1:11" x14ac:dyDescent="0.25">
      <c r="A13" s="7" t="s">
        <v>24</v>
      </c>
      <c r="B13" s="1" t="s">
        <v>2</v>
      </c>
      <c r="C13" s="1">
        <v>54</v>
      </c>
      <c r="D13" s="1" t="s">
        <v>113</v>
      </c>
      <c r="E13" s="1">
        <v>4</v>
      </c>
      <c r="F13" s="1">
        <v>30</v>
      </c>
      <c r="G13" s="1"/>
      <c r="H13" s="1"/>
      <c r="I13" s="1"/>
      <c r="J13" s="1"/>
      <c r="K13" s="1"/>
    </row>
    <row r="14" spans="1:11" x14ac:dyDescent="0.25">
      <c r="A14" s="7" t="s">
        <v>25</v>
      </c>
      <c r="B14" s="1" t="s">
        <v>3</v>
      </c>
      <c r="C14" s="1">
        <v>50</v>
      </c>
      <c r="D14" s="1" t="s">
        <v>113</v>
      </c>
      <c r="E14" s="1">
        <v>2</v>
      </c>
      <c r="F14" s="1">
        <v>27</v>
      </c>
      <c r="G14" s="1"/>
      <c r="H14" s="1"/>
      <c r="I14" s="1"/>
      <c r="J14" s="1"/>
      <c r="K14" s="1"/>
    </row>
    <row r="15" spans="1:11" x14ac:dyDescent="0.25">
      <c r="A15" s="7" t="s">
        <v>26</v>
      </c>
      <c r="B15" s="1" t="s">
        <v>3</v>
      </c>
      <c r="C15" s="1">
        <v>58</v>
      </c>
      <c r="D15" s="1" t="s">
        <v>113</v>
      </c>
      <c r="E15" s="1">
        <v>4</v>
      </c>
      <c r="F15" s="1">
        <v>43</v>
      </c>
      <c r="G15" s="1"/>
      <c r="H15" s="1"/>
      <c r="I15" s="1"/>
      <c r="J15" s="1"/>
      <c r="K15" s="1"/>
    </row>
    <row r="16" spans="1:11" x14ac:dyDescent="0.25">
      <c r="A16" s="7" t="s">
        <v>27</v>
      </c>
      <c r="B16" s="1" t="s">
        <v>2</v>
      </c>
      <c r="C16" s="1">
        <v>53</v>
      </c>
      <c r="D16" s="1" t="s">
        <v>6</v>
      </c>
      <c r="E16" s="1">
        <v>2</v>
      </c>
      <c r="F16" s="1">
        <v>17</v>
      </c>
      <c r="G16" s="1"/>
      <c r="H16" s="1"/>
      <c r="I16" s="1"/>
      <c r="J16" s="1"/>
      <c r="K16" s="1"/>
    </row>
    <row r="17" spans="1:11" x14ac:dyDescent="0.25">
      <c r="A17" s="7" t="s">
        <v>28</v>
      </c>
      <c r="B17" s="1" t="s">
        <v>2</v>
      </c>
      <c r="C17" s="1">
        <v>57</v>
      </c>
      <c r="D17" s="1" t="s">
        <v>7</v>
      </c>
      <c r="E17" s="1">
        <v>4</v>
      </c>
      <c r="F17" s="1">
        <v>33</v>
      </c>
      <c r="G17" s="1"/>
      <c r="H17" s="1"/>
      <c r="I17" s="1"/>
      <c r="J17" s="1"/>
      <c r="K17" s="1"/>
    </row>
    <row r="18" spans="1:11" x14ac:dyDescent="0.25">
      <c r="A18" s="7" t="s">
        <v>29</v>
      </c>
      <c r="B18" s="1" t="s">
        <v>3</v>
      </c>
      <c r="C18" s="1">
        <v>56</v>
      </c>
      <c r="D18" s="1" t="s">
        <v>7</v>
      </c>
      <c r="E18" s="1">
        <v>4</v>
      </c>
      <c r="F18" s="1">
        <v>38</v>
      </c>
      <c r="G18" s="1"/>
      <c r="H18" s="1"/>
      <c r="I18" s="1"/>
      <c r="J18" s="1"/>
      <c r="K18" s="1"/>
    </row>
    <row r="19" spans="1:11" x14ac:dyDescent="0.25">
      <c r="A19" s="7" t="s">
        <v>30</v>
      </c>
      <c r="B19" s="1" t="s">
        <v>3</v>
      </c>
      <c r="C19" s="1">
        <v>55</v>
      </c>
      <c r="D19" s="1" t="s">
        <v>6</v>
      </c>
      <c r="E19" s="1">
        <v>4</v>
      </c>
      <c r="F19" s="1">
        <v>30</v>
      </c>
      <c r="G19" s="1"/>
      <c r="H19" s="1"/>
      <c r="I19" s="1"/>
      <c r="J19" s="1"/>
      <c r="K19" s="1"/>
    </row>
    <row r="20" spans="1:11" x14ac:dyDescent="0.25">
      <c r="A20" s="7" t="s">
        <v>31</v>
      </c>
      <c r="B20" s="1" t="s">
        <v>3</v>
      </c>
      <c r="C20" s="1">
        <v>20</v>
      </c>
      <c r="D20" s="1" t="s">
        <v>7</v>
      </c>
      <c r="E20" s="1">
        <v>4</v>
      </c>
      <c r="F20" s="1">
        <v>5</v>
      </c>
      <c r="G20" s="1"/>
      <c r="H20" s="1"/>
      <c r="I20" s="1"/>
      <c r="J20" s="1"/>
      <c r="K20" s="1"/>
    </row>
    <row r="21" spans="1:11" x14ac:dyDescent="0.25">
      <c r="A21" s="7" t="s">
        <v>32</v>
      </c>
      <c r="B21" s="1" t="s">
        <v>3</v>
      </c>
      <c r="C21" s="1">
        <v>44</v>
      </c>
      <c r="D21" s="1" t="s">
        <v>6</v>
      </c>
      <c r="E21" s="1">
        <v>4</v>
      </c>
      <c r="F21" s="1">
        <v>4</v>
      </c>
      <c r="G21" s="1"/>
      <c r="H21" s="1"/>
      <c r="I21" s="1"/>
      <c r="J21" s="1"/>
      <c r="K21" s="1"/>
    </row>
    <row r="22" spans="1:11" x14ac:dyDescent="0.25">
      <c r="A22" s="7" t="s">
        <v>33</v>
      </c>
      <c r="B22" s="1" t="s">
        <v>2</v>
      </c>
      <c r="C22" s="1">
        <v>58</v>
      </c>
      <c r="D22" s="1" t="s">
        <v>113</v>
      </c>
      <c r="E22" s="1">
        <v>4</v>
      </c>
      <c r="F22" s="1">
        <v>27</v>
      </c>
      <c r="G22" s="1"/>
      <c r="H22" s="1"/>
      <c r="I22" s="1"/>
      <c r="J22" s="1"/>
      <c r="K22" s="1"/>
    </row>
    <row r="23" spans="1:11" x14ac:dyDescent="0.25">
      <c r="A23" s="7" t="s">
        <v>34</v>
      </c>
      <c r="B23" s="1" t="s">
        <v>3</v>
      </c>
      <c r="C23" s="1">
        <v>21</v>
      </c>
      <c r="D23" s="1" t="s">
        <v>113</v>
      </c>
      <c r="E23" s="1">
        <v>2</v>
      </c>
      <c r="F23" s="1">
        <v>2</v>
      </c>
      <c r="G23" s="1"/>
      <c r="H23" s="1"/>
      <c r="I23" s="1"/>
      <c r="J23" s="1"/>
      <c r="K23" s="1"/>
    </row>
    <row r="24" spans="1:11" x14ac:dyDescent="0.25">
      <c r="A24" s="7" t="s">
        <v>35</v>
      </c>
      <c r="B24" s="1" t="s">
        <v>3</v>
      </c>
      <c r="C24" s="1">
        <v>40</v>
      </c>
      <c r="D24" s="1" t="s">
        <v>6</v>
      </c>
      <c r="E24" s="1">
        <v>2</v>
      </c>
      <c r="F24" s="1">
        <v>19</v>
      </c>
      <c r="G24" s="1"/>
      <c r="H24" s="1"/>
      <c r="I24" s="1"/>
      <c r="J24" s="1"/>
      <c r="K24" s="1"/>
    </row>
    <row r="25" spans="1:11" x14ac:dyDescent="0.25">
      <c r="A25" s="7" t="s">
        <v>36</v>
      </c>
      <c r="B25" s="1" t="s">
        <v>3</v>
      </c>
      <c r="C25" s="1">
        <v>56</v>
      </c>
      <c r="D25" s="1" t="s">
        <v>7</v>
      </c>
      <c r="E25" s="1">
        <v>2</v>
      </c>
      <c r="F25" s="1">
        <v>25</v>
      </c>
      <c r="G25" s="1"/>
      <c r="H25" s="1"/>
      <c r="I25" s="1"/>
      <c r="J25" s="1"/>
      <c r="K25" s="1"/>
    </row>
    <row r="26" spans="1:11" x14ac:dyDescent="0.25">
      <c r="A26" s="7" t="s">
        <v>37</v>
      </c>
      <c r="B26" s="1" t="s">
        <v>2</v>
      </c>
      <c r="C26" s="1">
        <v>54</v>
      </c>
      <c r="D26" s="1" t="s">
        <v>7</v>
      </c>
      <c r="E26" s="1">
        <v>4</v>
      </c>
      <c r="F26" s="1">
        <v>10</v>
      </c>
      <c r="G26" s="1"/>
      <c r="H26" s="1"/>
      <c r="I26" s="1"/>
      <c r="J26" s="1"/>
      <c r="K26" s="1"/>
    </row>
    <row r="27" spans="1:11" x14ac:dyDescent="0.25">
      <c r="A27" s="7" t="s">
        <v>38</v>
      </c>
      <c r="B27" s="1" t="s">
        <v>3</v>
      </c>
      <c r="C27" s="1">
        <v>37</v>
      </c>
      <c r="D27" s="1" t="s">
        <v>113</v>
      </c>
      <c r="E27" s="1">
        <v>4</v>
      </c>
      <c r="F27" s="1">
        <v>20</v>
      </c>
      <c r="G27" s="1"/>
      <c r="H27" s="1"/>
      <c r="I27" s="1"/>
      <c r="J27" s="1"/>
      <c r="K27" s="1"/>
    </row>
    <row r="28" spans="1:11" x14ac:dyDescent="0.25">
      <c r="A28" s="7" t="s">
        <v>39</v>
      </c>
      <c r="B28" s="1" t="s">
        <v>2</v>
      </c>
      <c r="C28" s="1">
        <v>37</v>
      </c>
      <c r="D28" s="1" t="s">
        <v>7</v>
      </c>
      <c r="E28" s="1">
        <v>2</v>
      </c>
      <c r="F28" s="1">
        <v>11</v>
      </c>
      <c r="G28" s="1"/>
      <c r="H28" s="1"/>
      <c r="I28" s="1"/>
      <c r="J28" s="1"/>
      <c r="K28" s="1"/>
    </row>
    <row r="29" spans="1:11" x14ac:dyDescent="0.25">
      <c r="A29" s="7" t="s">
        <v>40</v>
      </c>
      <c r="B29" s="1" t="s">
        <v>3</v>
      </c>
      <c r="C29" s="1">
        <v>31</v>
      </c>
      <c r="D29" s="1" t="s">
        <v>6</v>
      </c>
      <c r="E29" s="1">
        <v>2</v>
      </c>
      <c r="F29" s="1">
        <v>16</v>
      </c>
      <c r="G29" s="1"/>
      <c r="H29" s="1"/>
      <c r="I29" s="1"/>
      <c r="J29" s="1"/>
      <c r="K29" s="1"/>
    </row>
    <row r="30" spans="1:11" x14ac:dyDescent="0.25">
      <c r="A30" s="7" t="s">
        <v>41</v>
      </c>
      <c r="B30" s="1" t="s">
        <v>2</v>
      </c>
      <c r="C30" s="1">
        <v>53</v>
      </c>
      <c r="D30" s="1" t="s">
        <v>113</v>
      </c>
      <c r="E30" s="1">
        <v>4</v>
      </c>
      <c r="F30" s="1">
        <v>20</v>
      </c>
      <c r="G30" s="1"/>
      <c r="H30" s="1"/>
      <c r="I30" s="1"/>
      <c r="J30" s="1"/>
      <c r="K30" s="1"/>
    </row>
    <row r="31" spans="1:11" x14ac:dyDescent="0.25">
      <c r="A31" s="7" t="s">
        <v>42</v>
      </c>
      <c r="B31" s="1" t="s">
        <v>2</v>
      </c>
      <c r="C31" s="1">
        <v>25</v>
      </c>
      <c r="D31" s="1" t="s">
        <v>6</v>
      </c>
      <c r="E31" s="1">
        <v>4</v>
      </c>
      <c r="F31" s="1">
        <v>2</v>
      </c>
      <c r="G31" s="1"/>
      <c r="H31" s="1"/>
      <c r="I31" s="1"/>
      <c r="J31" s="1"/>
      <c r="K31" s="1"/>
    </row>
    <row r="32" spans="1:11" x14ac:dyDescent="0.25">
      <c r="A32" s="7" t="s">
        <v>43</v>
      </c>
      <c r="B32" s="1" t="s">
        <v>3</v>
      </c>
      <c r="C32" s="1">
        <v>48</v>
      </c>
      <c r="D32" s="1" t="s">
        <v>6</v>
      </c>
      <c r="E32" s="1">
        <v>4</v>
      </c>
      <c r="F32" s="1">
        <v>18</v>
      </c>
      <c r="G32" s="1"/>
      <c r="H32" s="1"/>
      <c r="I32" s="1"/>
      <c r="J32" s="1"/>
      <c r="K32" s="1"/>
    </row>
    <row r="33" spans="1:11" x14ac:dyDescent="0.25">
      <c r="A33" s="7" t="s">
        <v>44</v>
      </c>
      <c r="B33" s="1" t="s">
        <v>3</v>
      </c>
      <c r="C33" s="1">
        <v>46</v>
      </c>
      <c r="D33" s="1" t="s">
        <v>6</v>
      </c>
      <c r="E33" s="1">
        <v>4</v>
      </c>
      <c r="F33" s="1">
        <v>11</v>
      </c>
      <c r="G33" s="1"/>
      <c r="H33" s="1"/>
      <c r="I33" s="1"/>
      <c r="J33" s="1"/>
      <c r="K33" s="1"/>
    </row>
    <row r="34" spans="1:11" x14ac:dyDescent="0.25">
      <c r="A34" s="7" t="s">
        <v>45</v>
      </c>
      <c r="B34" s="1" t="s">
        <v>2</v>
      </c>
      <c r="C34" s="1">
        <v>50</v>
      </c>
      <c r="D34" s="1" t="s">
        <v>6</v>
      </c>
      <c r="E34" s="1">
        <v>2</v>
      </c>
      <c r="F34" s="1">
        <v>1</v>
      </c>
      <c r="G34" s="1"/>
      <c r="H34" s="1"/>
      <c r="I34" s="1"/>
      <c r="J34" s="1"/>
      <c r="K34" s="1"/>
    </row>
    <row r="35" spans="1:11" x14ac:dyDescent="0.25">
      <c r="A35" s="7" t="s">
        <v>46</v>
      </c>
      <c r="B35" s="1" t="s">
        <v>3</v>
      </c>
      <c r="C35" s="1">
        <v>21</v>
      </c>
      <c r="D35" s="1" t="s">
        <v>7</v>
      </c>
      <c r="E35" s="1">
        <v>4</v>
      </c>
      <c r="F35" s="1">
        <v>1</v>
      </c>
      <c r="G35" s="1"/>
      <c r="H35" s="1"/>
      <c r="I35" s="1"/>
      <c r="J35" s="1"/>
      <c r="K35" s="1"/>
    </row>
    <row r="36" spans="1:11" x14ac:dyDescent="0.25">
      <c r="A36" s="7" t="s">
        <v>47</v>
      </c>
      <c r="B36" s="1" t="s">
        <v>2</v>
      </c>
      <c r="C36" s="1">
        <v>57</v>
      </c>
      <c r="D36" s="1" t="s">
        <v>113</v>
      </c>
      <c r="E36" s="1">
        <v>4</v>
      </c>
      <c r="F36" s="1">
        <v>29</v>
      </c>
      <c r="G36" s="1"/>
      <c r="H36" s="1"/>
      <c r="I36" s="1"/>
      <c r="J36" s="1"/>
      <c r="K36" s="1"/>
    </row>
    <row r="37" spans="1:11" x14ac:dyDescent="0.25">
      <c r="A37" s="7" t="s">
        <v>48</v>
      </c>
      <c r="B37" s="1" t="s">
        <v>3</v>
      </c>
      <c r="C37" s="1">
        <v>57</v>
      </c>
      <c r="D37" s="1" t="s">
        <v>7</v>
      </c>
      <c r="E37" s="1">
        <v>4</v>
      </c>
      <c r="F37" s="1">
        <v>36</v>
      </c>
      <c r="G37" s="1"/>
      <c r="H37" s="1"/>
      <c r="I37" s="1"/>
      <c r="J37" s="1"/>
      <c r="K37" s="1"/>
    </row>
    <row r="38" spans="1:11" x14ac:dyDescent="0.25">
      <c r="A38" s="7" t="s">
        <v>49</v>
      </c>
      <c r="B38" s="1" t="s">
        <v>3</v>
      </c>
      <c r="C38" s="1">
        <v>53</v>
      </c>
      <c r="D38" s="1" t="s">
        <v>7</v>
      </c>
      <c r="E38" s="1">
        <v>2</v>
      </c>
      <c r="F38" s="1">
        <v>2</v>
      </c>
      <c r="G38" s="1"/>
      <c r="H38" s="1"/>
      <c r="I38" s="1"/>
      <c r="J38" s="1"/>
      <c r="K38" s="1"/>
    </row>
    <row r="39" spans="1:11" x14ac:dyDescent="0.25">
      <c r="A39" s="7" t="s">
        <v>50</v>
      </c>
      <c r="B39" s="1" t="s">
        <v>3</v>
      </c>
      <c r="C39" s="1">
        <v>52</v>
      </c>
      <c r="D39" s="1" t="s">
        <v>113</v>
      </c>
      <c r="E39" s="1">
        <v>4</v>
      </c>
      <c r="F39" s="1">
        <v>7</v>
      </c>
      <c r="G39" s="1"/>
      <c r="H39" s="1"/>
      <c r="I39" s="1"/>
      <c r="J39" s="1"/>
      <c r="K39" s="1"/>
    </row>
    <row r="40" spans="1:11" x14ac:dyDescent="0.25">
      <c r="A40" s="7" t="s">
        <v>51</v>
      </c>
      <c r="B40" s="1" t="s">
        <v>3</v>
      </c>
      <c r="C40" s="1">
        <v>35</v>
      </c>
      <c r="D40" s="1" t="s">
        <v>6</v>
      </c>
      <c r="E40" s="1">
        <v>2</v>
      </c>
      <c r="F40" s="1">
        <v>3</v>
      </c>
      <c r="G40" s="1"/>
      <c r="H40" s="1"/>
      <c r="I40" s="1"/>
      <c r="J40" s="1"/>
      <c r="K40" s="1"/>
    </row>
    <row r="41" spans="1:11" x14ac:dyDescent="0.25">
      <c r="A41" s="7" t="s">
        <v>52</v>
      </c>
      <c r="B41" s="1" t="s">
        <v>3</v>
      </c>
      <c r="C41" s="1">
        <v>42</v>
      </c>
      <c r="D41" s="1" t="s">
        <v>7</v>
      </c>
      <c r="E41" s="1">
        <v>4</v>
      </c>
      <c r="F41" s="1">
        <v>7</v>
      </c>
      <c r="G41" s="1"/>
      <c r="H41" s="1"/>
      <c r="I41" s="1"/>
      <c r="J41" s="1"/>
      <c r="K41" s="1"/>
    </row>
    <row r="42" spans="1:11" x14ac:dyDescent="0.25">
      <c r="A42" s="7" t="s">
        <v>53</v>
      </c>
      <c r="B42" s="1" t="s">
        <v>2</v>
      </c>
      <c r="C42" s="1">
        <v>46</v>
      </c>
      <c r="D42" s="1" t="s">
        <v>6</v>
      </c>
      <c r="E42" s="1">
        <v>2</v>
      </c>
      <c r="F42" s="1">
        <v>22</v>
      </c>
      <c r="G42" s="1"/>
      <c r="H42" s="1"/>
      <c r="I42" s="1"/>
      <c r="J42" s="1"/>
      <c r="K42" s="1"/>
    </row>
    <row r="43" spans="1:11" x14ac:dyDescent="0.25">
      <c r="A43" s="7" t="s">
        <v>54</v>
      </c>
      <c r="B43" s="1" t="s">
        <v>2</v>
      </c>
      <c r="C43" s="1">
        <v>40</v>
      </c>
      <c r="D43" s="1" t="s">
        <v>6</v>
      </c>
      <c r="E43" s="1">
        <v>2</v>
      </c>
      <c r="F43" s="1">
        <v>19</v>
      </c>
      <c r="G43" s="1"/>
      <c r="H43" s="1"/>
      <c r="I43" s="1"/>
      <c r="J43" s="1"/>
      <c r="K43" s="1"/>
    </row>
    <row r="44" spans="1:11" x14ac:dyDescent="0.25">
      <c r="A44" s="7" t="s">
        <v>55</v>
      </c>
      <c r="B44" s="1" t="s">
        <v>2</v>
      </c>
      <c r="C44" s="1">
        <v>41</v>
      </c>
      <c r="D44" s="1" t="s">
        <v>6</v>
      </c>
      <c r="E44" s="1">
        <v>4</v>
      </c>
      <c r="F44" s="1">
        <v>15</v>
      </c>
      <c r="G44" s="1"/>
      <c r="H44" s="1"/>
      <c r="I44" s="1"/>
      <c r="J44" s="1"/>
      <c r="K44" s="1"/>
    </row>
    <row r="45" spans="1:11" x14ac:dyDescent="0.25">
      <c r="A45" s="7" t="s">
        <v>56</v>
      </c>
      <c r="B45" s="1" t="s">
        <v>3</v>
      </c>
      <c r="C45" s="1">
        <v>56</v>
      </c>
      <c r="D45" s="1" t="s">
        <v>7</v>
      </c>
      <c r="E45" s="1">
        <v>4</v>
      </c>
      <c r="F45" s="1">
        <v>25</v>
      </c>
      <c r="G45" s="1"/>
      <c r="H45" s="1"/>
      <c r="I45" s="1"/>
      <c r="J45" s="1"/>
      <c r="K45" s="1"/>
    </row>
    <row r="46" spans="1:11" x14ac:dyDescent="0.25">
      <c r="A46" s="7" t="s">
        <v>57</v>
      </c>
      <c r="B46" s="1" t="s">
        <v>2</v>
      </c>
      <c r="C46" s="1">
        <v>47</v>
      </c>
      <c r="D46" s="1" t="s">
        <v>7</v>
      </c>
      <c r="E46" s="1">
        <v>2</v>
      </c>
      <c r="F46" s="1">
        <v>28</v>
      </c>
      <c r="G46" s="1"/>
      <c r="H46" s="1"/>
      <c r="I46" s="1"/>
      <c r="J46" s="1"/>
      <c r="K46" s="1"/>
    </row>
    <row r="47" spans="1:11" x14ac:dyDescent="0.25">
      <c r="A47" s="7" t="s">
        <v>58</v>
      </c>
      <c r="B47" s="1" t="s">
        <v>3</v>
      </c>
      <c r="C47" s="1">
        <v>26</v>
      </c>
      <c r="D47" s="1" t="s">
        <v>7</v>
      </c>
      <c r="E47" s="1">
        <v>4</v>
      </c>
      <c r="F47" s="1">
        <v>1</v>
      </c>
      <c r="G47" s="1"/>
      <c r="H47" s="1"/>
      <c r="I47" s="1"/>
      <c r="J47" s="1"/>
      <c r="K47" s="1"/>
    </row>
    <row r="48" spans="1:11" x14ac:dyDescent="0.25">
      <c r="A48" s="7" t="s">
        <v>59</v>
      </c>
      <c r="B48" s="1" t="s">
        <v>2</v>
      </c>
      <c r="C48" s="1">
        <v>21</v>
      </c>
      <c r="D48" s="1" t="s">
        <v>6</v>
      </c>
      <c r="E48" s="1">
        <v>2</v>
      </c>
      <c r="F48" s="1">
        <v>3</v>
      </c>
      <c r="G48" s="1"/>
      <c r="H48" s="1"/>
      <c r="I48" s="1"/>
      <c r="J48" s="1"/>
      <c r="K48" s="1"/>
    </row>
    <row r="49" spans="1:11" x14ac:dyDescent="0.25">
      <c r="A49" s="7" t="s">
        <v>60</v>
      </c>
      <c r="B49" s="1" t="s">
        <v>3</v>
      </c>
      <c r="C49" s="1">
        <v>42</v>
      </c>
      <c r="D49" s="1" t="s">
        <v>6</v>
      </c>
      <c r="E49" s="1">
        <v>4</v>
      </c>
      <c r="F49" s="1">
        <v>24</v>
      </c>
      <c r="G49" s="1"/>
      <c r="H49" s="1"/>
      <c r="I49" s="1"/>
      <c r="J49" s="1"/>
      <c r="K49" s="1"/>
    </row>
    <row r="50" spans="1:11" x14ac:dyDescent="0.25">
      <c r="A50" s="7" t="s">
        <v>61</v>
      </c>
      <c r="B50" s="1" t="s">
        <v>3</v>
      </c>
      <c r="C50" s="1">
        <v>34</v>
      </c>
      <c r="D50" s="1" t="s">
        <v>7</v>
      </c>
      <c r="E50" s="1">
        <v>4</v>
      </c>
      <c r="F50" s="1">
        <v>13</v>
      </c>
      <c r="G50" s="1"/>
      <c r="H50" s="1"/>
      <c r="I50" s="1"/>
      <c r="J50" s="1"/>
      <c r="K50" s="1"/>
    </row>
    <row r="51" spans="1:11" x14ac:dyDescent="0.25">
      <c r="A51" s="7" t="s">
        <v>62</v>
      </c>
      <c r="B51" s="1" t="s">
        <v>2</v>
      </c>
      <c r="C51" s="1">
        <v>20</v>
      </c>
      <c r="D51" s="1" t="s">
        <v>6</v>
      </c>
      <c r="E51" s="1">
        <v>4</v>
      </c>
      <c r="F51" s="1">
        <v>1</v>
      </c>
      <c r="G51" s="1"/>
      <c r="H51" s="1"/>
      <c r="I51" s="1"/>
      <c r="J51" s="1"/>
      <c r="K51" s="1"/>
    </row>
    <row r="52" spans="1:11" x14ac:dyDescent="0.25">
      <c r="A52" s="7" t="s">
        <v>63</v>
      </c>
      <c r="B52" s="1" t="s">
        <v>3</v>
      </c>
      <c r="C52" s="1">
        <v>42</v>
      </c>
      <c r="D52" s="1" t="s">
        <v>7</v>
      </c>
      <c r="E52" s="1">
        <v>4</v>
      </c>
      <c r="F52" s="1">
        <v>23</v>
      </c>
      <c r="G52" s="1"/>
      <c r="H52" s="1"/>
      <c r="I52" s="1"/>
      <c r="J52" s="1"/>
      <c r="K52" s="1"/>
    </row>
    <row r="53" spans="1:11" x14ac:dyDescent="0.25">
      <c r="A53" s="7" t="s">
        <v>64</v>
      </c>
      <c r="B53" s="1" t="s">
        <v>3</v>
      </c>
      <c r="C53" s="1">
        <v>53</v>
      </c>
      <c r="D53" s="1" t="s">
        <v>113</v>
      </c>
      <c r="E53" s="1">
        <v>4</v>
      </c>
      <c r="F53" s="1">
        <v>38</v>
      </c>
      <c r="G53" s="1"/>
      <c r="H53" s="1"/>
      <c r="I53" s="1"/>
      <c r="J53" s="1"/>
      <c r="K53" s="1"/>
    </row>
    <row r="54" spans="1:11" x14ac:dyDescent="0.25">
      <c r="A54" s="7" t="s">
        <v>65</v>
      </c>
      <c r="B54" s="1" t="s">
        <v>2</v>
      </c>
      <c r="C54" s="1">
        <v>41</v>
      </c>
      <c r="D54" s="1" t="s">
        <v>113</v>
      </c>
      <c r="E54" s="1">
        <v>2</v>
      </c>
      <c r="F54" s="1">
        <v>2</v>
      </c>
      <c r="G54" s="1"/>
      <c r="H54" s="1"/>
      <c r="I54" s="1"/>
      <c r="J54" s="1"/>
      <c r="K54" s="1"/>
    </row>
    <row r="55" spans="1:11" x14ac:dyDescent="0.25">
      <c r="A55" s="7" t="s">
        <v>66</v>
      </c>
      <c r="B55" s="1" t="s">
        <v>2</v>
      </c>
      <c r="C55" s="1">
        <v>42</v>
      </c>
      <c r="D55" s="1" t="s">
        <v>7</v>
      </c>
      <c r="E55" s="1">
        <v>2</v>
      </c>
      <c r="F55" s="1">
        <v>26</v>
      </c>
      <c r="G55" s="1"/>
      <c r="H55" s="1"/>
      <c r="I55" s="1"/>
      <c r="J55" s="1"/>
      <c r="K55" s="1"/>
    </row>
    <row r="56" spans="1:11" x14ac:dyDescent="0.25">
      <c r="A56" s="7" t="s">
        <v>67</v>
      </c>
      <c r="B56" s="1" t="s">
        <v>3</v>
      </c>
      <c r="C56" s="1">
        <v>26</v>
      </c>
      <c r="D56" s="1" t="s">
        <v>6</v>
      </c>
      <c r="E56" s="1">
        <v>2</v>
      </c>
      <c r="F56" s="1">
        <v>5</v>
      </c>
      <c r="G56" s="1"/>
      <c r="H56" s="1"/>
      <c r="I56" s="1"/>
      <c r="J56" s="1"/>
      <c r="K56" s="1"/>
    </row>
    <row r="57" spans="1:11" x14ac:dyDescent="0.25">
      <c r="A57" s="7" t="s">
        <v>68</v>
      </c>
      <c r="B57" s="1" t="s">
        <v>3</v>
      </c>
      <c r="C57" s="1">
        <v>43</v>
      </c>
      <c r="D57" s="1" t="s">
        <v>6</v>
      </c>
      <c r="E57" s="1">
        <v>4</v>
      </c>
      <c r="F57" s="1">
        <v>12</v>
      </c>
      <c r="G57" s="1"/>
      <c r="H57" s="1"/>
      <c r="I57" s="1"/>
      <c r="J57" s="1"/>
      <c r="K57" s="1"/>
    </row>
    <row r="58" spans="1:11" x14ac:dyDescent="0.25">
      <c r="A58" s="7" t="s">
        <v>69</v>
      </c>
      <c r="B58" s="1" t="s">
        <v>2</v>
      </c>
      <c r="C58" s="1">
        <v>21</v>
      </c>
      <c r="D58" s="1" t="s">
        <v>6</v>
      </c>
      <c r="E58" s="1">
        <v>2</v>
      </c>
      <c r="F58" s="1">
        <v>3</v>
      </c>
      <c r="G58" s="1"/>
      <c r="H58" s="1"/>
      <c r="I58" s="1"/>
      <c r="J58" s="1"/>
      <c r="K58" s="1"/>
    </row>
    <row r="59" spans="1:11" x14ac:dyDescent="0.25">
      <c r="A59" s="7" t="s">
        <v>70</v>
      </c>
      <c r="B59" s="1" t="s">
        <v>2</v>
      </c>
      <c r="C59" s="1">
        <v>46</v>
      </c>
      <c r="D59" s="1" t="s">
        <v>6</v>
      </c>
      <c r="E59" s="1">
        <v>4</v>
      </c>
      <c r="F59" s="1">
        <v>15</v>
      </c>
      <c r="G59" s="1"/>
      <c r="H59" s="1"/>
      <c r="I59" s="1"/>
      <c r="J59" s="1"/>
      <c r="K59" s="1"/>
    </row>
    <row r="60" spans="1:11" x14ac:dyDescent="0.25">
      <c r="A60" s="7" t="s">
        <v>71</v>
      </c>
      <c r="B60" s="1" t="s">
        <v>3</v>
      </c>
      <c r="C60" s="1">
        <v>52</v>
      </c>
      <c r="D60" s="1" t="s">
        <v>7</v>
      </c>
      <c r="E60" s="1">
        <v>2</v>
      </c>
      <c r="F60" s="1">
        <v>29</v>
      </c>
      <c r="G60" s="1"/>
      <c r="H60" s="1"/>
      <c r="I60" s="1"/>
      <c r="J60" s="1"/>
      <c r="K60" s="1"/>
    </row>
    <row r="61" spans="1:11" x14ac:dyDescent="0.25">
      <c r="A61" s="7" t="s">
        <v>72</v>
      </c>
      <c r="B61" s="1" t="s">
        <v>3</v>
      </c>
      <c r="C61" s="1">
        <v>35</v>
      </c>
      <c r="D61" s="1" t="s">
        <v>7</v>
      </c>
      <c r="E61" s="1">
        <v>4</v>
      </c>
      <c r="F61" s="1">
        <v>17</v>
      </c>
      <c r="G61" s="1"/>
      <c r="H61" s="1"/>
      <c r="I61" s="1"/>
      <c r="J61" s="1"/>
      <c r="K61" s="1"/>
    </row>
    <row r="62" spans="1:11" x14ac:dyDescent="0.25">
      <c r="A62" s="7" t="s">
        <v>73</v>
      </c>
      <c r="B62" s="1" t="s">
        <v>3</v>
      </c>
      <c r="C62" s="1">
        <v>30</v>
      </c>
      <c r="D62" s="1" t="s">
        <v>113</v>
      </c>
      <c r="E62" s="1">
        <v>4</v>
      </c>
      <c r="F62" s="1">
        <v>8</v>
      </c>
      <c r="G62" s="1"/>
      <c r="H62" s="1"/>
      <c r="I62" s="1"/>
      <c r="J62" s="1"/>
      <c r="K62" s="1"/>
    </row>
    <row r="63" spans="1:11" x14ac:dyDescent="0.25">
      <c r="A63" s="7" t="s">
        <v>74</v>
      </c>
      <c r="B63" s="1" t="s">
        <v>3</v>
      </c>
      <c r="C63" s="1">
        <v>43</v>
      </c>
      <c r="D63" s="1" t="s">
        <v>113</v>
      </c>
      <c r="E63" s="1">
        <v>2</v>
      </c>
      <c r="F63" s="1">
        <v>22</v>
      </c>
      <c r="G63" s="1"/>
      <c r="H63" s="1"/>
      <c r="I63" s="1"/>
      <c r="J63" s="1"/>
      <c r="K63" s="1"/>
    </row>
    <row r="64" spans="1:11" x14ac:dyDescent="0.25">
      <c r="A64" s="7" t="s">
        <v>75</v>
      </c>
      <c r="B64" s="1" t="s">
        <v>2</v>
      </c>
      <c r="C64" s="1">
        <v>26</v>
      </c>
      <c r="D64" s="1" t="s">
        <v>7</v>
      </c>
      <c r="E64" s="1">
        <v>4</v>
      </c>
      <c r="F64" s="1">
        <v>10</v>
      </c>
      <c r="G64" s="1"/>
      <c r="H64" s="1"/>
      <c r="I64" s="1"/>
      <c r="J64" s="1"/>
      <c r="K64" s="1"/>
    </row>
    <row r="65" spans="1:11" x14ac:dyDescent="0.25">
      <c r="A65" s="7" t="s">
        <v>76</v>
      </c>
      <c r="B65" s="1" t="s">
        <v>3</v>
      </c>
      <c r="C65" s="1">
        <v>22</v>
      </c>
      <c r="D65" s="1" t="s">
        <v>7</v>
      </c>
      <c r="E65" s="1">
        <v>4</v>
      </c>
      <c r="F65" s="1">
        <v>2</v>
      </c>
      <c r="G65" s="1"/>
      <c r="H65" s="1"/>
      <c r="I65" s="1"/>
      <c r="J65" s="1"/>
      <c r="K65" s="1"/>
    </row>
    <row r="66" spans="1:11" x14ac:dyDescent="0.25">
      <c r="A66" s="7" t="s">
        <v>77</v>
      </c>
      <c r="B66" s="1" t="s">
        <v>3</v>
      </c>
      <c r="C66" s="1">
        <v>22</v>
      </c>
      <c r="D66" s="1" t="s">
        <v>113</v>
      </c>
      <c r="E66" s="1">
        <v>2</v>
      </c>
      <c r="F66" s="1">
        <v>3</v>
      </c>
      <c r="G66" s="1"/>
      <c r="H66" s="1"/>
      <c r="I66" s="1"/>
      <c r="J66" s="1"/>
      <c r="K66" s="1"/>
    </row>
    <row r="67" spans="1:11" x14ac:dyDescent="0.25">
      <c r="A67" s="7" t="s">
        <v>78</v>
      </c>
      <c r="B67" s="1" t="s">
        <v>2</v>
      </c>
      <c r="C67" s="1">
        <v>56</v>
      </c>
      <c r="D67" s="1" t="s">
        <v>7</v>
      </c>
      <c r="E67" s="1">
        <v>2</v>
      </c>
      <c r="F67" s="1">
        <v>37</v>
      </c>
      <c r="G67" s="1"/>
      <c r="H67" s="1"/>
      <c r="I67" s="1"/>
      <c r="J67" s="1"/>
      <c r="K67" s="1"/>
    </row>
    <row r="68" spans="1:11" x14ac:dyDescent="0.25">
      <c r="A68" s="7" t="s">
        <v>79</v>
      </c>
      <c r="B68" s="1" t="s">
        <v>3</v>
      </c>
      <c r="C68" s="1">
        <v>49</v>
      </c>
      <c r="D68" s="1" t="s">
        <v>113</v>
      </c>
      <c r="E68" s="1">
        <v>4</v>
      </c>
      <c r="F68" s="1">
        <v>34</v>
      </c>
      <c r="G68" s="1"/>
      <c r="H68" s="1"/>
      <c r="I68" s="1"/>
      <c r="J68" s="1"/>
      <c r="K68" s="1"/>
    </row>
    <row r="69" spans="1:11" x14ac:dyDescent="0.25">
      <c r="A69" s="7" t="s">
        <v>80</v>
      </c>
      <c r="B69" s="1" t="s">
        <v>3</v>
      </c>
      <c r="C69" s="1">
        <v>32</v>
      </c>
      <c r="D69" s="1" t="s">
        <v>6</v>
      </c>
      <c r="E69" s="1">
        <v>4</v>
      </c>
      <c r="F69" s="1">
        <v>5</v>
      </c>
      <c r="G69" s="1"/>
      <c r="H69" s="1"/>
      <c r="I69" s="1"/>
      <c r="J69" s="1"/>
      <c r="K69" s="1"/>
    </row>
    <row r="70" spans="1:11" x14ac:dyDescent="0.25">
      <c r="A70" s="7" t="s">
        <v>81</v>
      </c>
      <c r="B70" s="1" t="s">
        <v>3</v>
      </c>
      <c r="C70" s="1">
        <v>25</v>
      </c>
      <c r="D70" s="1" t="s">
        <v>6</v>
      </c>
      <c r="E70" s="1">
        <v>2</v>
      </c>
      <c r="F70" s="1">
        <v>5</v>
      </c>
      <c r="G70" s="1"/>
      <c r="H70" s="1"/>
      <c r="I70" s="1"/>
      <c r="J70" s="1"/>
      <c r="K70" s="1"/>
    </row>
    <row r="71" spans="1:11" x14ac:dyDescent="0.25">
      <c r="A71" s="7" t="s">
        <v>82</v>
      </c>
      <c r="B71" s="1" t="s">
        <v>3</v>
      </c>
      <c r="C71" s="1">
        <v>57</v>
      </c>
      <c r="D71" s="1" t="s">
        <v>7</v>
      </c>
      <c r="E71" s="1">
        <v>2</v>
      </c>
      <c r="F71" s="1">
        <v>35</v>
      </c>
      <c r="G71" s="1"/>
      <c r="H71" s="1"/>
      <c r="I71" s="1"/>
      <c r="J71" s="1"/>
      <c r="K71" s="1"/>
    </row>
    <row r="72" spans="1:11" x14ac:dyDescent="0.25">
      <c r="A72" s="7" t="s">
        <v>83</v>
      </c>
      <c r="B72" s="1" t="s">
        <v>2</v>
      </c>
      <c r="C72" s="1">
        <v>60</v>
      </c>
      <c r="D72" s="1" t="s">
        <v>7</v>
      </c>
      <c r="E72" s="1">
        <v>4</v>
      </c>
      <c r="F72" s="1">
        <v>21</v>
      </c>
      <c r="G72" s="1"/>
      <c r="H72" s="1"/>
      <c r="I72" s="1"/>
      <c r="J72" s="1"/>
      <c r="K72" s="1"/>
    </row>
    <row r="73" spans="1:11" x14ac:dyDescent="0.25">
      <c r="A73" s="7" t="s">
        <v>84</v>
      </c>
      <c r="B73" s="1" t="s">
        <v>3</v>
      </c>
      <c r="C73" s="1">
        <v>31</v>
      </c>
      <c r="D73" s="1" t="s">
        <v>7</v>
      </c>
      <c r="E73" s="1">
        <v>4</v>
      </c>
      <c r="F73" s="1">
        <v>6</v>
      </c>
      <c r="G73" s="1"/>
      <c r="H73" s="1"/>
      <c r="I73" s="1"/>
      <c r="J73" s="1"/>
      <c r="K73" s="1"/>
    </row>
    <row r="74" spans="1:11" x14ac:dyDescent="0.25">
      <c r="A74" s="7" t="s">
        <v>85</v>
      </c>
      <c r="B74" s="1" t="s">
        <v>3</v>
      </c>
      <c r="C74" s="1">
        <v>27</v>
      </c>
      <c r="D74" s="1" t="s">
        <v>6</v>
      </c>
      <c r="E74" s="1">
        <v>4</v>
      </c>
      <c r="F74" s="1">
        <v>8</v>
      </c>
      <c r="G74" s="1"/>
      <c r="H74" s="1"/>
      <c r="I74" s="1"/>
      <c r="J74" s="1"/>
      <c r="K74" s="1"/>
    </row>
    <row r="75" spans="1:11" x14ac:dyDescent="0.25">
      <c r="A75" s="7" t="s">
        <v>86</v>
      </c>
      <c r="B75" s="1" t="s">
        <v>2</v>
      </c>
      <c r="C75" s="1">
        <v>50</v>
      </c>
      <c r="D75" s="1" t="s">
        <v>7</v>
      </c>
      <c r="E75" s="1">
        <v>4</v>
      </c>
      <c r="F75" s="1">
        <v>26</v>
      </c>
      <c r="G75" s="1"/>
      <c r="H75" s="1"/>
      <c r="I75" s="1"/>
      <c r="J75" s="1"/>
      <c r="K75" s="1"/>
    </row>
    <row r="76" spans="1:11" x14ac:dyDescent="0.25">
      <c r="A76" s="7" t="s">
        <v>87</v>
      </c>
      <c r="B76" s="1" t="s">
        <v>3</v>
      </c>
      <c r="C76" s="1">
        <v>20</v>
      </c>
      <c r="D76" s="1" t="s">
        <v>7</v>
      </c>
      <c r="E76" s="1">
        <v>2</v>
      </c>
      <c r="F76" s="1">
        <v>5</v>
      </c>
      <c r="G76" s="1"/>
      <c r="H76" s="1"/>
      <c r="I76" s="1"/>
      <c r="J76" s="1"/>
      <c r="K76" s="1"/>
    </row>
    <row r="77" spans="1:11" x14ac:dyDescent="0.25">
      <c r="A77" s="7" t="s">
        <v>88</v>
      </c>
      <c r="B77" s="1" t="s">
        <v>2</v>
      </c>
      <c r="C77" s="1">
        <v>27</v>
      </c>
      <c r="D77" s="1" t="s">
        <v>6</v>
      </c>
      <c r="E77" s="1">
        <v>4</v>
      </c>
      <c r="F77" s="1">
        <v>2</v>
      </c>
      <c r="G77" s="1"/>
      <c r="H77" s="1"/>
      <c r="I77" s="1"/>
      <c r="J77" s="1"/>
      <c r="K77" s="1"/>
    </row>
    <row r="78" spans="1:11" x14ac:dyDescent="0.25">
      <c r="A78" s="7" t="s">
        <v>89</v>
      </c>
      <c r="B78" s="1" t="s">
        <v>2</v>
      </c>
      <c r="C78" s="1">
        <v>29</v>
      </c>
      <c r="D78" s="1" t="s">
        <v>7</v>
      </c>
      <c r="E78" s="1">
        <v>4</v>
      </c>
      <c r="F78" s="1">
        <v>2</v>
      </c>
      <c r="G78" s="1"/>
      <c r="H78" s="1"/>
      <c r="I78" s="1"/>
      <c r="J78" s="1"/>
      <c r="K78" s="1"/>
    </row>
    <row r="79" spans="1:11" x14ac:dyDescent="0.25">
      <c r="A79" s="7" t="s">
        <v>90</v>
      </c>
      <c r="B79" s="1" t="s">
        <v>3</v>
      </c>
      <c r="C79" s="1">
        <v>25</v>
      </c>
      <c r="D79" s="1" t="s">
        <v>7</v>
      </c>
      <c r="E79" s="1">
        <v>2</v>
      </c>
      <c r="F79" s="1">
        <v>7</v>
      </c>
      <c r="G79" s="1"/>
      <c r="H79" s="1"/>
      <c r="I79" s="1"/>
      <c r="J79" s="1"/>
      <c r="K79" s="1"/>
    </row>
    <row r="80" spans="1:11" x14ac:dyDescent="0.25">
      <c r="A80" s="7" t="s">
        <v>91</v>
      </c>
      <c r="B80" s="1" t="s">
        <v>3</v>
      </c>
      <c r="C80" s="1">
        <v>36</v>
      </c>
      <c r="D80" s="1" t="s">
        <v>113</v>
      </c>
      <c r="E80" s="1">
        <v>4</v>
      </c>
      <c r="F80" s="1">
        <v>17</v>
      </c>
      <c r="G80" s="1"/>
      <c r="H80" s="1"/>
      <c r="I80" s="1"/>
      <c r="J80" s="1"/>
      <c r="K80" s="1"/>
    </row>
    <row r="81" spans="1:11" x14ac:dyDescent="0.25">
      <c r="A81" s="7" t="s">
        <v>92</v>
      </c>
      <c r="B81" s="1" t="s">
        <v>3</v>
      </c>
      <c r="C81" s="1">
        <v>33</v>
      </c>
      <c r="D81" s="1" t="s">
        <v>113</v>
      </c>
      <c r="E81" s="1">
        <v>4</v>
      </c>
      <c r="F81" s="1">
        <v>7</v>
      </c>
      <c r="G81" s="1"/>
      <c r="H81" s="1"/>
      <c r="I81" s="1"/>
      <c r="J81" s="1"/>
      <c r="K81" s="1"/>
    </row>
    <row r="82" spans="1:11" x14ac:dyDescent="0.25">
      <c r="A82" s="7" t="s">
        <v>93</v>
      </c>
      <c r="B82" s="1" t="s">
        <v>3</v>
      </c>
      <c r="C82" s="1">
        <v>54</v>
      </c>
      <c r="D82" s="1" t="s">
        <v>7</v>
      </c>
      <c r="E82" s="1">
        <v>4</v>
      </c>
      <c r="F82" s="1">
        <v>1</v>
      </c>
      <c r="G82" s="1"/>
      <c r="H82" s="1"/>
      <c r="I82" s="1"/>
      <c r="J82" s="1"/>
      <c r="K82" s="1"/>
    </row>
    <row r="83" spans="1:11" x14ac:dyDescent="0.25">
      <c r="A83" s="7" t="s">
        <v>94</v>
      </c>
      <c r="B83" s="1" t="s">
        <v>2</v>
      </c>
      <c r="C83" s="1">
        <v>21</v>
      </c>
      <c r="D83" s="1" t="s">
        <v>7</v>
      </c>
      <c r="E83" s="1">
        <v>4</v>
      </c>
      <c r="F83" s="1">
        <v>2</v>
      </c>
      <c r="G83" s="1"/>
      <c r="H83" s="1"/>
      <c r="I83" s="1"/>
      <c r="J83" s="1"/>
      <c r="K83" s="1"/>
    </row>
    <row r="84" spans="1:11" x14ac:dyDescent="0.25">
      <c r="A84" s="7" t="s">
        <v>95</v>
      </c>
      <c r="B84" s="1" t="s">
        <v>2</v>
      </c>
      <c r="C84" s="1">
        <v>39</v>
      </c>
      <c r="D84" s="1" t="s">
        <v>6</v>
      </c>
      <c r="E84" s="1">
        <v>2</v>
      </c>
      <c r="F84" s="1">
        <v>17</v>
      </c>
      <c r="G84" s="1"/>
      <c r="H84" s="1"/>
      <c r="I84" s="1"/>
      <c r="J84" s="1"/>
      <c r="K84" s="1"/>
    </row>
    <row r="85" spans="1:11" x14ac:dyDescent="0.25">
      <c r="A85" s="7" t="s">
        <v>96</v>
      </c>
      <c r="B85" s="1" t="s">
        <v>2</v>
      </c>
      <c r="C85" s="1">
        <v>22</v>
      </c>
      <c r="D85" s="1" t="s">
        <v>7</v>
      </c>
      <c r="E85" s="1">
        <v>4</v>
      </c>
      <c r="F85" s="1">
        <v>4</v>
      </c>
      <c r="G85" s="1"/>
      <c r="H85" s="1"/>
      <c r="I85" s="1"/>
      <c r="J85" s="1"/>
      <c r="K85" s="1"/>
    </row>
    <row r="86" spans="1:11" x14ac:dyDescent="0.25">
      <c r="A86" s="7" t="s">
        <v>97</v>
      </c>
      <c r="B86" s="1" t="s">
        <v>2</v>
      </c>
      <c r="C86" s="1">
        <v>44</v>
      </c>
      <c r="D86" s="1" t="s">
        <v>113</v>
      </c>
      <c r="E86" s="1">
        <v>4</v>
      </c>
      <c r="F86" s="1">
        <v>13</v>
      </c>
      <c r="G86" s="1"/>
      <c r="H86" s="1"/>
      <c r="I86" s="1"/>
      <c r="J86" s="1"/>
      <c r="K86" s="1"/>
    </row>
    <row r="87" spans="1:11" x14ac:dyDescent="0.25">
      <c r="A87" s="7" t="s">
        <v>98</v>
      </c>
      <c r="B87" s="1" t="s">
        <v>3</v>
      </c>
      <c r="C87" s="1">
        <v>39</v>
      </c>
      <c r="D87" s="1" t="s">
        <v>6</v>
      </c>
      <c r="E87" s="1">
        <v>2</v>
      </c>
      <c r="F87" s="1">
        <v>13</v>
      </c>
      <c r="G87" s="1"/>
      <c r="H87" s="1"/>
      <c r="I87" s="1"/>
      <c r="J87" s="1"/>
      <c r="K87" s="1"/>
    </row>
    <row r="88" spans="1:11" x14ac:dyDescent="0.25">
      <c r="A88" s="7" t="s">
        <v>99</v>
      </c>
      <c r="B88" s="1" t="s">
        <v>3</v>
      </c>
      <c r="C88" s="1">
        <v>56</v>
      </c>
      <c r="D88" s="1" t="s">
        <v>6</v>
      </c>
      <c r="E88" s="1">
        <v>4</v>
      </c>
      <c r="F88" s="1">
        <v>36</v>
      </c>
      <c r="G88" s="1"/>
      <c r="H88" s="1"/>
      <c r="I88" s="1"/>
      <c r="J88" s="1"/>
      <c r="K88" s="1"/>
    </row>
    <row r="89" spans="1:11" x14ac:dyDescent="0.25">
      <c r="A89" s="7" t="s">
        <v>100</v>
      </c>
      <c r="B89" s="1" t="s">
        <v>2</v>
      </c>
      <c r="C89" s="1">
        <v>28</v>
      </c>
      <c r="D89" s="1" t="s">
        <v>7</v>
      </c>
      <c r="E89" s="1">
        <v>2</v>
      </c>
      <c r="F89" s="1">
        <v>6</v>
      </c>
      <c r="G89" s="1"/>
      <c r="H89" s="1"/>
      <c r="I89" s="1"/>
      <c r="J89" s="1"/>
      <c r="K89" s="1"/>
    </row>
    <row r="90" spans="1:11" x14ac:dyDescent="0.25">
      <c r="A90" s="7" t="s">
        <v>101</v>
      </c>
      <c r="B90" s="1" t="s">
        <v>3</v>
      </c>
      <c r="C90" s="1">
        <v>56</v>
      </c>
      <c r="D90" s="1" t="s">
        <v>6</v>
      </c>
      <c r="E90" s="1">
        <v>2</v>
      </c>
      <c r="F90" s="1">
        <v>19</v>
      </c>
      <c r="G90" s="1"/>
      <c r="H90" s="1"/>
      <c r="I90" s="1"/>
      <c r="J90" s="1"/>
      <c r="K90" s="1"/>
    </row>
    <row r="91" spans="1:11" x14ac:dyDescent="0.25">
      <c r="A91" s="7" t="s">
        <v>102</v>
      </c>
      <c r="B91" s="1" t="s">
        <v>3</v>
      </c>
      <c r="C91" s="1">
        <v>28</v>
      </c>
      <c r="D91" s="1" t="s">
        <v>113</v>
      </c>
      <c r="E91" s="1">
        <v>4</v>
      </c>
      <c r="F91" s="1">
        <v>9</v>
      </c>
      <c r="G91" s="1"/>
      <c r="H91" s="1"/>
      <c r="I91" s="1"/>
      <c r="J91" s="1"/>
      <c r="K91" s="1"/>
    </row>
    <row r="92" spans="1:11" x14ac:dyDescent="0.25">
      <c r="A92" s="7" t="s">
        <v>103</v>
      </c>
      <c r="B92" s="1" t="s">
        <v>3</v>
      </c>
      <c r="C92" s="1">
        <v>59</v>
      </c>
      <c r="D92" s="1" t="s">
        <v>6</v>
      </c>
      <c r="E92" s="1">
        <v>4</v>
      </c>
      <c r="F92" s="1">
        <v>41</v>
      </c>
      <c r="G92" s="1"/>
      <c r="H92" s="1"/>
      <c r="I92" s="1"/>
      <c r="J92" s="1"/>
      <c r="K92" s="1"/>
    </row>
    <row r="93" spans="1:11" x14ac:dyDescent="0.25">
      <c r="A93" s="7" t="s">
        <v>104</v>
      </c>
      <c r="B93" s="1" t="s">
        <v>3</v>
      </c>
      <c r="C93" s="1">
        <v>57</v>
      </c>
      <c r="D93" s="1" t="s">
        <v>113</v>
      </c>
      <c r="E93" s="1">
        <v>4</v>
      </c>
      <c r="F93" s="1">
        <v>19</v>
      </c>
      <c r="G93" s="1"/>
      <c r="H93" s="1"/>
      <c r="I93" s="1"/>
      <c r="J93" s="1"/>
      <c r="K93" s="1"/>
    </row>
    <row r="94" spans="1:11" x14ac:dyDescent="0.25">
      <c r="A94" s="7" t="s">
        <v>105</v>
      </c>
      <c r="B94" s="1" t="s">
        <v>3</v>
      </c>
      <c r="C94" s="1">
        <v>31</v>
      </c>
      <c r="D94" s="1" t="s">
        <v>113</v>
      </c>
      <c r="E94" s="1">
        <v>4</v>
      </c>
      <c r="F94" s="1">
        <v>5</v>
      </c>
      <c r="G94" s="1"/>
      <c r="H94" s="1"/>
      <c r="I94" s="1"/>
      <c r="J94" s="1"/>
      <c r="K94" s="1"/>
    </row>
    <row r="95" spans="1:11" x14ac:dyDescent="0.25">
      <c r="A95" s="7" t="s">
        <v>106</v>
      </c>
      <c r="B95" s="1" t="s">
        <v>3</v>
      </c>
      <c r="C95" s="1">
        <v>48</v>
      </c>
      <c r="D95" s="1" t="s">
        <v>7</v>
      </c>
      <c r="E95" s="1">
        <v>2</v>
      </c>
      <c r="F95" s="1">
        <v>21</v>
      </c>
      <c r="G95" s="1"/>
      <c r="H95" s="1"/>
      <c r="I95" s="1"/>
      <c r="J95" s="1"/>
      <c r="K95" s="1"/>
    </row>
    <row r="96" spans="1:11" x14ac:dyDescent="0.25">
      <c r="A96" s="7" t="s">
        <v>107</v>
      </c>
      <c r="B96" s="1" t="s">
        <v>3</v>
      </c>
      <c r="C96" s="1">
        <v>22</v>
      </c>
      <c r="D96" s="1" t="s">
        <v>113</v>
      </c>
      <c r="E96" s="1">
        <v>2</v>
      </c>
      <c r="F96" s="1">
        <v>1</v>
      </c>
      <c r="G96" s="1"/>
      <c r="H96" s="1"/>
      <c r="I96" s="1"/>
      <c r="J96" s="1"/>
      <c r="K96" s="1"/>
    </row>
    <row r="97" spans="1:11" x14ac:dyDescent="0.25">
      <c r="A97" s="7" t="s">
        <v>108</v>
      </c>
      <c r="B97" s="1" t="s">
        <v>3</v>
      </c>
      <c r="C97" s="1">
        <v>35</v>
      </c>
      <c r="D97" s="1" t="s">
        <v>113</v>
      </c>
      <c r="E97" s="1">
        <v>2</v>
      </c>
      <c r="F97" s="1">
        <v>19</v>
      </c>
      <c r="G97" s="1"/>
      <c r="H97" s="1"/>
      <c r="I97" s="1"/>
      <c r="J97" s="1"/>
      <c r="K97" s="1"/>
    </row>
    <row r="98" spans="1:11" x14ac:dyDescent="0.25">
      <c r="A98" s="7" t="s">
        <v>109</v>
      </c>
      <c r="B98" s="1" t="s">
        <v>3</v>
      </c>
      <c r="C98" s="1">
        <v>21</v>
      </c>
      <c r="D98" s="1" t="s">
        <v>113</v>
      </c>
      <c r="E98" s="1">
        <v>2</v>
      </c>
      <c r="F98" s="1">
        <v>4</v>
      </c>
      <c r="G98" s="1"/>
      <c r="H98" s="1"/>
      <c r="I98" s="1"/>
      <c r="J98" s="1"/>
      <c r="K98" s="1"/>
    </row>
    <row r="99" spans="1:11" x14ac:dyDescent="0.25">
      <c r="A99" s="7" t="s">
        <v>110</v>
      </c>
      <c r="B99" s="1" t="s">
        <v>3</v>
      </c>
      <c r="C99" s="1">
        <v>39</v>
      </c>
      <c r="D99" s="1" t="s">
        <v>6</v>
      </c>
      <c r="E99" s="1">
        <v>4</v>
      </c>
      <c r="F99" s="1">
        <v>19</v>
      </c>
      <c r="G99" s="1"/>
      <c r="H99" s="1"/>
      <c r="I99" s="1"/>
      <c r="J99" s="1"/>
      <c r="K99" s="1"/>
    </row>
    <row r="100" spans="1:11" x14ac:dyDescent="0.25">
      <c r="A100" s="7" t="s">
        <v>111</v>
      </c>
      <c r="B100" s="1" t="s">
        <v>3</v>
      </c>
      <c r="C100" s="1">
        <v>51</v>
      </c>
      <c r="D100" s="1" t="s">
        <v>6</v>
      </c>
      <c r="E100" s="1">
        <v>4</v>
      </c>
      <c r="F100" s="1">
        <v>28</v>
      </c>
      <c r="G100" s="1"/>
      <c r="H100" s="1"/>
      <c r="I100" s="1"/>
      <c r="J100" s="1"/>
      <c r="K100" s="1"/>
    </row>
    <row r="101" spans="1:11" x14ac:dyDescent="0.25">
      <c r="A101" s="7" t="s">
        <v>112</v>
      </c>
      <c r="B101" s="1" t="s">
        <v>3</v>
      </c>
      <c r="C101" s="1">
        <v>28</v>
      </c>
      <c r="D101" s="1" t="s">
        <v>6</v>
      </c>
      <c r="E101" s="1">
        <v>2</v>
      </c>
      <c r="F101" s="1">
        <v>1</v>
      </c>
      <c r="G101" s="1"/>
      <c r="H101" s="1"/>
      <c r="I101" s="1"/>
      <c r="J101" s="1"/>
      <c r="K101" s="1"/>
    </row>
  </sheetData>
  <phoneticPr fontId="3" type="noConversion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8256D-CC25-4442-83D0-FBAFE63A992F}">
  <sheetPr codeName="Sheet5"/>
  <dimension ref="B2:Q30"/>
  <sheetViews>
    <sheetView tabSelected="1" workbookViewId="0">
      <selection activeCell="A9" sqref="A9"/>
    </sheetView>
  </sheetViews>
  <sheetFormatPr defaultRowHeight="15" x14ac:dyDescent="0.25"/>
  <cols>
    <col min="2" max="2" width="13" customWidth="1"/>
    <col min="6" max="7" width="10.5703125" bestFit="1" customWidth="1"/>
  </cols>
  <sheetData>
    <row r="2" spans="2:17" x14ac:dyDescent="0.25">
      <c r="F2" t="s">
        <v>0</v>
      </c>
      <c r="G2">
        <v>20</v>
      </c>
      <c r="H2">
        <v>21</v>
      </c>
      <c r="I2">
        <f>H2+1</f>
        <v>22</v>
      </c>
      <c r="J2">
        <f t="shared" ref="J2:M2" si="0">I2+1</f>
        <v>23</v>
      </c>
      <c r="K2">
        <f t="shared" si="0"/>
        <v>24</v>
      </c>
      <c r="L2">
        <f t="shared" si="0"/>
        <v>25</v>
      </c>
      <c r="M2">
        <f t="shared" si="0"/>
        <v>26</v>
      </c>
      <c r="N2">
        <v>27</v>
      </c>
      <c r="O2">
        <v>28</v>
      </c>
      <c r="P2">
        <v>29</v>
      </c>
      <c r="Q2">
        <v>30</v>
      </c>
    </row>
    <row r="3" spans="2:17" x14ac:dyDescent="0.25">
      <c r="F3" s="3" t="s">
        <v>116</v>
      </c>
      <c r="G3" s="3">
        <v>0</v>
      </c>
      <c r="H3" s="3">
        <f>G3+1</f>
        <v>1</v>
      </c>
      <c r="I3" s="3">
        <f t="shared" ref="I3:Q3" si="1">H3+1</f>
        <v>2</v>
      </c>
      <c r="J3" s="3">
        <f t="shared" si="1"/>
        <v>3</v>
      </c>
      <c r="K3" s="3">
        <f>J3+1</f>
        <v>4</v>
      </c>
      <c r="L3" s="3">
        <f t="shared" si="1"/>
        <v>5</v>
      </c>
      <c r="M3" s="3">
        <f t="shared" si="1"/>
        <v>6</v>
      </c>
      <c r="N3" s="3">
        <f t="shared" si="1"/>
        <v>7</v>
      </c>
      <c r="O3" s="3">
        <f t="shared" si="1"/>
        <v>8</v>
      </c>
      <c r="P3" s="3">
        <f t="shared" si="1"/>
        <v>9</v>
      </c>
      <c r="Q3" s="3">
        <f t="shared" si="1"/>
        <v>10</v>
      </c>
    </row>
    <row r="4" spans="2:17" x14ac:dyDescent="0.25">
      <c r="B4" s="3" t="s">
        <v>1</v>
      </c>
      <c r="C4" s="8" t="s">
        <v>3</v>
      </c>
      <c r="F4" s="1"/>
      <c r="G4" s="5">
        <f t="shared" ref="G4:Q4" si="2">HLOOKUP(G$2,Age_vs_gen,IF($C$4 = "F", 2, 3),FALSE)</f>
        <v>0.62158322736515981</v>
      </c>
      <c r="H4" s="5">
        <f t="shared" si="2"/>
        <v>0.69767820778040812</v>
      </c>
      <c r="I4" s="5">
        <f t="shared" si="2"/>
        <v>0.65051566142792017</v>
      </c>
      <c r="J4" s="5">
        <f t="shared" si="2"/>
        <v>0.60917882670284851</v>
      </c>
      <c r="K4" s="5">
        <f t="shared" si="2"/>
        <v>0.78106319730749918</v>
      </c>
      <c r="L4" s="5">
        <f t="shared" si="2"/>
        <v>0.10324651726007139</v>
      </c>
      <c r="M4" s="5">
        <f t="shared" si="2"/>
        <v>0.43615955929180705</v>
      </c>
      <c r="N4" s="5">
        <f t="shared" si="2"/>
        <v>0.1135715114132454</v>
      </c>
      <c r="O4" s="5">
        <f t="shared" si="2"/>
        <v>0.23843662572230029</v>
      </c>
      <c r="P4" s="5">
        <f t="shared" si="2"/>
        <v>0.37313303353903604</v>
      </c>
      <c r="Q4" s="5">
        <f t="shared" si="2"/>
        <v>0.80063151048220149</v>
      </c>
    </row>
    <row r="5" spans="2:17" x14ac:dyDescent="0.25">
      <c r="C5" s="9"/>
      <c r="G5" s="6"/>
      <c r="H5" s="6"/>
      <c r="I5" s="6"/>
      <c r="J5" s="6"/>
      <c r="K5" s="6"/>
      <c r="L5" s="6"/>
      <c r="M5" s="6"/>
      <c r="N5" s="6"/>
      <c r="O5" s="6"/>
      <c r="P5" s="6"/>
      <c r="Q5" s="6"/>
    </row>
    <row r="6" spans="2:17" x14ac:dyDescent="0.25">
      <c r="B6" s="3" t="s">
        <v>114</v>
      </c>
      <c r="C6" s="8" t="s">
        <v>6</v>
      </c>
    </row>
    <row r="7" spans="2:17" x14ac:dyDescent="0.25">
      <c r="C7" s="9"/>
      <c r="F7" s="3" t="s">
        <v>116</v>
      </c>
      <c r="G7" s="3">
        <v>0</v>
      </c>
      <c r="H7" s="3">
        <v>1</v>
      </c>
      <c r="I7" s="3">
        <v>2</v>
      </c>
      <c r="J7" s="3">
        <v>3</v>
      </c>
      <c r="K7" s="3">
        <v>4</v>
      </c>
      <c r="L7" s="3">
        <v>5</v>
      </c>
      <c r="M7" s="3">
        <v>6</v>
      </c>
      <c r="N7" s="3">
        <v>6</v>
      </c>
      <c r="O7" s="3">
        <v>6</v>
      </c>
      <c r="P7" s="3">
        <v>6</v>
      </c>
      <c r="Q7" s="3">
        <v>6</v>
      </c>
    </row>
    <row r="8" spans="2:17" x14ac:dyDescent="0.25">
      <c r="B8" s="3" t="s">
        <v>4</v>
      </c>
      <c r="C8" s="8">
        <v>2</v>
      </c>
      <c r="F8" s="1"/>
      <c r="G8" s="5">
        <f t="shared" ref="G8:Q8" si="3">VLOOKUP($C$6, door_vs_type, IF($C$8 = 2, 2,3),FALSE)</f>
        <v>0.48310404850060301</v>
      </c>
      <c r="H8" s="5">
        <f t="shared" si="3"/>
        <v>0.48310404850060301</v>
      </c>
      <c r="I8" s="5">
        <f t="shared" si="3"/>
        <v>0.48310404850060301</v>
      </c>
      <c r="J8" s="5">
        <f t="shared" si="3"/>
        <v>0.48310404850060301</v>
      </c>
      <c r="K8" s="5">
        <f t="shared" si="3"/>
        <v>0.48310404850060301</v>
      </c>
      <c r="L8" s="5">
        <f t="shared" si="3"/>
        <v>0.48310404850060301</v>
      </c>
      <c r="M8" s="5">
        <f t="shared" si="3"/>
        <v>0.48310404850060301</v>
      </c>
      <c r="N8" s="5">
        <f t="shared" si="3"/>
        <v>0.48310404850060301</v>
      </c>
      <c r="O8" s="5">
        <f t="shared" si="3"/>
        <v>0.48310404850060301</v>
      </c>
      <c r="P8" s="5">
        <f t="shared" si="3"/>
        <v>0.48310404850060301</v>
      </c>
      <c r="Q8" s="5">
        <f t="shared" si="3"/>
        <v>0.48310404850060301</v>
      </c>
    </row>
    <row r="9" spans="2:17" x14ac:dyDescent="0.25">
      <c r="C9" s="9"/>
    </row>
    <row r="10" spans="2:17" x14ac:dyDescent="0.25">
      <c r="B10" s="3" t="s">
        <v>0</v>
      </c>
      <c r="C10" s="8">
        <v>28</v>
      </c>
      <c r="F10">
        <v>1</v>
      </c>
      <c r="G10">
        <f>F10+1</f>
        <v>2</v>
      </c>
      <c r="H10">
        <f>G10+1</f>
        <v>3</v>
      </c>
      <c r="I10">
        <f t="shared" ref="I10:Q11" si="4">H10+1</f>
        <v>4</v>
      </c>
      <c r="J10">
        <f t="shared" si="4"/>
        <v>5</v>
      </c>
      <c r="K10">
        <f t="shared" si="4"/>
        <v>6</v>
      </c>
      <c r="L10">
        <f t="shared" si="4"/>
        <v>7</v>
      </c>
      <c r="M10">
        <f t="shared" si="4"/>
        <v>8</v>
      </c>
      <c r="N10">
        <f t="shared" si="4"/>
        <v>9</v>
      </c>
      <c r="O10">
        <f t="shared" si="4"/>
        <v>10</v>
      </c>
      <c r="P10">
        <f t="shared" si="4"/>
        <v>11</v>
      </c>
      <c r="Q10">
        <f t="shared" si="4"/>
        <v>12</v>
      </c>
    </row>
    <row r="11" spans="2:17" x14ac:dyDescent="0.25">
      <c r="C11" s="9"/>
      <c r="F11" s="3" t="s">
        <v>116</v>
      </c>
      <c r="G11" s="3">
        <v>0</v>
      </c>
      <c r="H11" s="3">
        <v>1</v>
      </c>
      <c r="I11" s="3">
        <f>H11+1</f>
        <v>2</v>
      </c>
      <c r="J11" s="3">
        <f t="shared" si="4"/>
        <v>3</v>
      </c>
      <c r="K11" s="3">
        <f t="shared" si="4"/>
        <v>4</v>
      </c>
      <c r="L11" s="3">
        <f t="shared" si="4"/>
        <v>5</v>
      </c>
      <c r="M11" s="3">
        <f t="shared" si="4"/>
        <v>6</v>
      </c>
      <c r="N11" s="3">
        <f t="shared" si="4"/>
        <v>7</v>
      </c>
      <c r="O11" s="3">
        <f t="shared" si="4"/>
        <v>8</v>
      </c>
      <c r="P11" s="3">
        <f t="shared" si="4"/>
        <v>9</v>
      </c>
      <c r="Q11" s="3">
        <f t="shared" si="4"/>
        <v>10</v>
      </c>
    </row>
    <row r="12" spans="2:17" x14ac:dyDescent="0.25">
      <c r="B12" s="3" t="s">
        <v>115</v>
      </c>
      <c r="C12" s="8">
        <v>1</v>
      </c>
      <c r="F12" s="5">
        <f t="shared" ref="F12:Q12" si="5">VLOOKUP($C$10, age_vs_lic, F10+1, FALSE)</f>
        <v>0.79419056277027766</v>
      </c>
      <c r="G12" s="5">
        <f t="shared" si="5"/>
        <v>0.94571509869136483</v>
      </c>
      <c r="H12" s="5">
        <f t="shared" si="5"/>
        <v>0.13347066410429376</v>
      </c>
      <c r="I12" s="5">
        <f t="shared" si="5"/>
        <v>0.49019028350761118</v>
      </c>
      <c r="J12" s="5">
        <f t="shared" si="5"/>
        <v>0.77270232388375704</v>
      </c>
      <c r="K12" s="5">
        <f t="shared" si="5"/>
        <v>0.14258082216997348</v>
      </c>
      <c r="L12" s="5">
        <f t="shared" si="5"/>
        <v>0.96129947294759432</v>
      </c>
      <c r="M12" s="5">
        <f t="shared" si="5"/>
        <v>0.35221640915793251</v>
      </c>
      <c r="N12" s="5">
        <f t="shared" si="5"/>
        <v>7.599318683746481E-2</v>
      </c>
      <c r="O12" s="5">
        <f t="shared" si="5"/>
        <v>0.63794723722757396</v>
      </c>
      <c r="P12" s="5">
        <f t="shared" si="5"/>
        <v>0.45290293060692888</v>
      </c>
      <c r="Q12" s="5">
        <f t="shared" si="5"/>
        <v>0.85929138325077026</v>
      </c>
    </row>
    <row r="14" spans="2:17" x14ac:dyDescent="0.25">
      <c r="B14" s="3" t="s">
        <v>120</v>
      </c>
      <c r="C14" s="14">
        <v>0.01</v>
      </c>
      <c r="F14" s="3" t="s">
        <v>116</v>
      </c>
      <c r="G14" s="3">
        <v>0</v>
      </c>
      <c r="H14" s="3">
        <v>1</v>
      </c>
      <c r="I14" s="3">
        <f>H14+1</f>
        <v>2</v>
      </c>
      <c r="J14" s="3">
        <f t="shared" ref="J14:Q14" si="6">I14+1</f>
        <v>3</v>
      </c>
      <c r="K14" s="3">
        <f t="shared" si="6"/>
        <v>4</v>
      </c>
      <c r="L14" s="3">
        <f t="shared" si="6"/>
        <v>5</v>
      </c>
      <c r="M14" s="3">
        <f t="shared" si="6"/>
        <v>6</v>
      </c>
      <c r="N14" s="3">
        <f t="shared" si="6"/>
        <v>7</v>
      </c>
      <c r="O14" s="3">
        <f t="shared" si="6"/>
        <v>8</v>
      </c>
      <c r="P14" s="3">
        <f t="shared" si="6"/>
        <v>9</v>
      </c>
      <c r="Q14" s="3">
        <f t="shared" si="6"/>
        <v>10</v>
      </c>
    </row>
    <row r="15" spans="2:17" x14ac:dyDescent="0.25">
      <c r="F15" s="1"/>
      <c r="G15" s="4">
        <f>G12*G8*G4</f>
        <v>0.28398819460917618</v>
      </c>
      <c r="H15" s="4">
        <f t="shared" ref="H15:Q15" si="7">H12*H8*H4</f>
        <v>4.4986443060494728E-2</v>
      </c>
      <c r="I15" s="4">
        <f t="shared" si="7"/>
        <v>0.1540505071073979</v>
      </c>
      <c r="J15" s="4">
        <f t="shared" si="7"/>
        <v>0.22740378838610995</v>
      </c>
      <c r="K15" s="4">
        <f t="shared" si="7"/>
        <v>5.3800704984213014E-2</v>
      </c>
      <c r="L15" s="4">
        <f t="shared" si="7"/>
        <v>4.7948474227530208E-2</v>
      </c>
      <c r="M15" s="4">
        <f t="shared" si="7"/>
        <v>7.4215677678722017E-2</v>
      </c>
      <c r="N15" s="4">
        <f t="shared" si="7"/>
        <v>4.1695073119991681E-3</v>
      </c>
      <c r="O15" s="4">
        <f t="shared" si="7"/>
        <v>7.3484950359971324E-2</v>
      </c>
      <c r="P15" s="4">
        <f t="shared" si="7"/>
        <v>8.164122391618979E-2</v>
      </c>
      <c r="Q15" s="4">
        <f t="shared" si="7"/>
        <v>0.33236387401630657</v>
      </c>
    </row>
    <row r="17" spans="6:17" x14ac:dyDescent="0.25">
      <c r="F17" s="3" t="s">
        <v>116</v>
      </c>
      <c r="G17" s="3">
        <v>0</v>
      </c>
      <c r="H17" s="3">
        <v>1</v>
      </c>
      <c r="I17" s="3">
        <f>H17+1</f>
        <v>2</v>
      </c>
      <c r="J17" s="3">
        <f t="shared" ref="J17:Q17" si="8">I17+1</f>
        <v>3</v>
      </c>
      <c r="K17" s="3">
        <f t="shared" si="8"/>
        <v>4</v>
      </c>
      <c r="L17" s="3">
        <f t="shared" si="8"/>
        <v>5</v>
      </c>
      <c r="M17" s="3">
        <f t="shared" si="8"/>
        <v>6</v>
      </c>
      <c r="N17" s="3">
        <f t="shared" si="8"/>
        <v>7</v>
      </c>
      <c r="O17" s="3">
        <f t="shared" si="8"/>
        <v>8</v>
      </c>
      <c r="P17" s="3">
        <f t="shared" si="8"/>
        <v>9</v>
      </c>
      <c r="Q17" s="3">
        <f t="shared" si="8"/>
        <v>10</v>
      </c>
    </row>
    <row r="18" spans="6:17" x14ac:dyDescent="0.25">
      <c r="F18" s="1"/>
      <c r="G18" s="10">
        <f>1000*G15</f>
        <v>283.98819460917616</v>
      </c>
      <c r="H18" s="10">
        <f t="shared" ref="H18:Q18" si="9">1000*H15</f>
        <v>44.986443060494729</v>
      </c>
      <c r="I18" s="10">
        <f t="shared" si="9"/>
        <v>154.05050710739789</v>
      </c>
      <c r="J18" s="10">
        <f t="shared" si="9"/>
        <v>227.40378838610994</v>
      </c>
      <c r="K18" s="10">
        <f t="shared" si="9"/>
        <v>53.800704984213013</v>
      </c>
      <c r="L18" s="10">
        <f t="shared" si="9"/>
        <v>47.948474227530205</v>
      </c>
      <c r="M18" s="10">
        <f t="shared" si="9"/>
        <v>74.215677678722017</v>
      </c>
      <c r="N18" s="10">
        <f t="shared" si="9"/>
        <v>4.1695073119991681</v>
      </c>
      <c r="O18" s="10">
        <f t="shared" si="9"/>
        <v>73.484950359971322</v>
      </c>
      <c r="P18" s="10">
        <f t="shared" si="9"/>
        <v>81.641223916189787</v>
      </c>
      <c r="Q18" s="10">
        <f t="shared" si="9"/>
        <v>332.36387401630657</v>
      </c>
    </row>
    <row r="19" spans="6:17" x14ac:dyDescent="0.25"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spans="6:17" x14ac:dyDescent="0.25">
      <c r="F20" s="13" t="s">
        <v>117</v>
      </c>
      <c r="G20" s="11"/>
      <c r="H20" s="11"/>
      <c r="I20" s="11"/>
      <c r="J20" s="11"/>
    </row>
    <row r="21" spans="6:17" x14ac:dyDescent="0.25">
      <c r="F21" s="3" t="s">
        <v>116</v>
      </c>
      <c r="G21" s="3">
        <v>0</v>
      </c>
      <c r="H21" s="3">
        <v>1</v>
      </c>
      <c r="I21" s="3">
        <f>H21+1</f>
        <v>2</v>
      </c>
      <c r="J21" s="3">
        <f t="shared" ref="J21:Q21" si="10">I21+1</f>
        <v>3</v>
      </c>
      <c r="K21" s="3">
        <f t="shared" si="10"/>
        <v>4</v>
      </c>
      <c r="L21" s="3">
        <f t="shared" si="10"/>
        <v>5</v>
      </c>
      <c r="M21" s="3">
        <f t="shared" si="10"/>
        <v>6</v>
      </c>
      <c r="N21" s="3">
        <f t="shared" si="10"/>
        <v>7</v>
      </c>
      <c r="O21" s="3">
        <f t="shared" si="10"/>
        <v>8</v>
      </c>
      <c r="P21" s="3">
        <f t="shared" si="10"/>
        <v>9</v>
      </c>
      <c r="Q21" s="3">
        <f t="shared" si="10"/>
        <v>10</v>
      </c>
    </row>
    <row r="22" spans="6:17" x14ac:dyDescent="0.25">
      <c r="F22" s="1"/>
      <c r="G22" s="16">
        <f>G18+55</f>
        <v>338.98819460917616</v>
      </c>
      <c r="H22" s="16">
        <f t="shared" ref="H22:Q22" si="11">H18+55</f>
        <v>99.986443060494736</v>
      </c>
      <c r="I22" s="16">
        <f t="shared" si="11"/>
        <v>209.05050710739789</v>
      </c>
      <c r="J22" s="16">
        <f t="shared" si="11"/>
        <v>282.40378838610991</v>
      </c>
      <c r="K22" s="16">
        <f t="shared" si="11"/>
        <v>108.80070498421301</v>
      </c>
      <c r="L22" s="16">
        <f t="shared" si="11"/>
        <v>102.9484742275302</v>
      </c>
      <c r="M22" s="16">
        <f t="shared" si="11"/>
        <v>129.21567767872202</v>
      </c>
      <c r="N22" s="16">
        <f t="shared" si="11"/>
        <v>59.169507311999169</v>
      </c>
      <c r="O22" s="16">
        <f t="shared" si="11"/>
        <v>128.48495035997132</v>
      </c>
      <c r="P22" s="16">
        <f t="shared" si="11"/>
        <v>136.6412239161898</v>
      </c>
      <c r="Q22" s="16">
        <f t="shared" si="11"/>
        <v>387.36387401630657</v>
      </c>
    </row>
    <row r="24" spans="6:17" x14ac:dyDescent="0.25">
      <c r="F24" t="s">
        <v>118</v>
      </c>
    </row>
    <row r="25" spans="6:17" x14ac:dyDescent="0.25">
      <c r="F25" s="3" t="s">
        <v>116</v>
      </c>
      <c r="G25" s="3">
        <v>0</v>
      </c>
      <c r="H25" s="3">
        <v>1</v>
      </c>
      <c r="I25" s="3">
        <f>H25+1</f>
        <v>2</v>
      </c>
      <c r="J25" s="3">
        <f t="shared" ref="J25:Q25" si="12">I25+1</f>
        <v>3</v>
      </c>
      <c r="K25" s="3">
        <f t="shared" si="12"/>
        <v>4</v>
      </c>
      <c r="L25" s="3">
        <f t="shared" si="12"/>
        <v>5</v>
      </c>
      <c r="M25" s="3">
        <f t="shared" si="12"/>
        <v>6</v>
      </c>
      <c r="N25" s="3">
        <f t="shared" si="12"/>
        <v>7</v>
      </c>
      <c r="O25" s="3">
        <f t="shared" si="12"/>
        <v>8</v>
      </c>
      <c r="P25" s="3">
        <f t="shared" si="12"/>
        <v>9</v>
      </c>
      <c r="Q25" s="3">
        <f t="shared" si="12"/>
        <v>10</v>
      </c>
    </row>
    <row r="26" spans="6:17" x14ac:dyDescent="0.25">
      <c r="F26" s="1"/>
      <c r="G26" s="16">
        <f>G22/(1+$C$14)^(G25+1)</f>
        <v>335.63187585066947</v>
      </c>
      <c r="H26" s="16">
        <f t="shared" ref="H26:Q26" si="13">H22/(1+$C$14)^(H25+1)</f>
        <v>98.016315126453023</v>
      </c>
      <c r="I26" s="16">
        <f t="shared" si="13"/>
        <v>202.90236261771841</v>
      </c>
      <c r="J26" s="16">
        <f t="shared" si="13"/>
        <v>271.38448984653627</v>
      </c>
      <c r="K26" s="16">
        <f t="shared" si="13"/>
        <v>103.52013757990326</v>
      </c>
      <c r="L26" s="16">
        <f t="shared" si="13"/>
        <v>96.982119622735311</v>
      </c>
      <c r="M26" s="16">
        <f t="shared" si="13"/>
        <v>120.52179552216184</v>
      </c>
      <c r="N26" s="16">
        <f t="shared" si="13"/>
        <v>54.642047285175721</v>
      </c>
      <c r="O26" s="16">
        <f t="shared" si="13"/>
        <v>117.47890692961012</v>
      </c>
      <c r="P26" s="16">
        <f t="shared" si="13"/>
        <v>123.69951748460947</v>
      </c>
      <c r="Q26" s="16">
        <f t="shared" si="13"/>
        <v>347.20342759039465</v>
      </c>
    </row>
    <row r="28" spans="6:17" x14ac:dyDescent="0.25">
      <c r="F28" s="3" t="s">
        <v>119</v>
      </c>
      <c r="G28" s="3"/>
      <c r="H28" s="3"/>
      <c r="I28" s="3"/>
      <c r="J28" s="3"/>
    </row>
    <row r="29" spans="6:17" x14ac:dyDescent="0.25">
      <c r="F29" s="17"/>
      <c r="G29" s="12"/>
      <c r="H29" s="12"/>
      <c r="I29" s="12"/>
      <c r="J29" s="12"/>
    </row>
    <row r="30" spans="6:17" x14ac:dyDescent="0.25">
      <c r="F30" s="15">
        <f>SUM(G26:Q26)</f>
        <v>1871.9829954559677</v>
      </c>
    </row>
  </sheetData>
  <conditionalFormatting sqref="F29">
    <cfRule type="expression" dxfId="1" priority="3">
      <formula>$F$29&gt;800</formula>
    </cfRule>
  </conditionalFormatting>
  <conditionalFormatting sqref="F30">
    <cfRule type="expression" dxfId="0" priority="1">
      <formula>$F$30 &gt;= 2000</formula>
    </cfRule>
  </conditionalFormatting>
  <dataValidations disablePrompts="1" count="3">
    <dataValidation type="list" allowBlank="1" showInputMessage="1" showErrorMessage="1" sqref="C4" xr:uid="{03B5BF3D-4018-4522-8CF2-FDDFE9F7CCC4}">
      <formula1>"F,M"</formula1>
    </dataValidation>
    <dataValidation type="list" allowBlank="1" showInputMessage="1" showErrorMessage="1" sqref="C6" xr:uid="{20F6D27C-8FBD-4A7B-A074-533AB9606E9B}">
      <formula1>"Car,Truck,Hummer"</formula1>
    </dataValidation>
    <dataValidation type="list" allowBlank="1" showInputMessage="1" showErrorMessage="1" sqref="C8" xr:uid="{6A6106A2-ED4A-4545-9553-36E84C268FD7}">
      <formula1>"2,4"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58D5C4B3-256F-4605-AEB0-7B4F81FBA0F9}">
          <x14:formula1>
            <xm:f>'Rate Tables'!$D$17:$D$27</xm:f>
          </x14:formula1>
          <xm:sqref>C10</xm:sqref>
        </x14:dataValidation>
        <x14:dataValidation type="list" allowBlank="1" showInputMessage="1" showErrorMessage="1" xr:uid="{45C457EF-FCA1-4C5A-8BF9-B2D70C49D0C2}">
          <x14:formula1>
            <xm:f>'Rate Tables'!$E$16:$R$16</xm:f>
          </x14:formula1>
          <xm:sqref>C12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2A42EE5C366A47B57350977E5942CD" ma:contentTypeVersion="12" ma:contentTypeDescription="Create a new document." ma:contentTypeScope="" ma:versionID="7e73d911d07b97a70003ca3c40c32c59">
  <xsd:schema xmlns:xsd="http://www.w3.org/2001/XMLSchema" xmlns:xs="http://www.w3.org/2001/XMLSchema" xmlns:p="http://schemas.microsoft.com/office/2006/metadata/properties" xmlns:ns3="a363c11f-4ce7-4497-9961-2d68d6c21a67" xmlns:ns4="4d015c7f-8fcf-49c1-a80b-fd73f67df5ca" targetNamespace="http://schemas.microsoft.com/office/2006/metadata/properties" ma:root="true" ma:fieldsID="177852a7c5f32fdaf0be1f3c1be1f51f" ns3:_="" ns4:_="">
    <xsd:import namespace="a363c11f-4ce7-4497-9961-2d68d6c21a67"/>
    <xsd:import namespace="4d015c7f-8fcf-49c1-a80b-fd73f67df5c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63c11f-4ce7-4497-9961-2d68d6c21a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015c7f-8fcf-49c1-a80b-fd73f67df5c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B2C45C2-ACDE-4440-A952-E12AADF346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63c11f-4ce7-4497-9961-2d68d6c21a67"/>
    <ds:schemaRef ds:uri="4d015c7f-8fcf-49c1-a80b-fd73f67df5c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298990-33E4-4C21-A73F-B696E4B48B5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26825A0-87E9-497A-9B54-571E1504170D}">
  <ds:schemaRefs>
    <ds:schemaRef ds:uri="http://purl.org/dc/elements/1.1/"/>
    <ds:schemaRef ds:uri="http://schemas.microsoft.com/office/2006/documentManagement/types"/>
    <ds:schemaRef ds:uri="http://www.w3.org/XML/1998/namespace"/>
    <ds:schemaRef ds:uri="a363c11f-4ce7-4497-9961-2d68d6c21a67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4d015c7f-8fcf-49c1-a80b-fd73f67df5ca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Rate Tables</vt:lpstr>
      <vt:lpstr>Calculator Step 1</vt:lpstr>
      <vt:lpstr>Policy Holder Data</vt:lpstr>
      <vt:lpstr>Policy Holder Data 2</vt:lpstr>
      <vt:lpstr>Calculator 2</vt:lpstr>
      <vt:lpstr>Age_vs_gen</vt:lpstr>
      <vt:lpstr>age_vs_lic</vt:lpstr>
      <vt:lpstr>door_vs_type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 Bin (Kelvin) Li</dc:creator>
  <cp:lastModifiedBy>Wei Bin (Kelvin) Li</cp:lastModifiedBy>
  <dcterms:created xsi:type="dcterms:W3CDTF">2020-05-26T17:40:45Z</dcterms:created>
  <dcterms:modified xsi:type="dcterms:W3CDTF">2020-05-26T23:30:46Z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db18a7-9a06-4c2b-92aa-50fe3d28be59_Enabled">
    <vt:lpwstr>true</vt:lpwstr>
  </property>
  <property fmtid="{D5CDD505-2E9C-101B-9397-08002B2CF9AE}" pid="3" name="MSIP_Label_8cdb18a7-9a06-4c2b-92aa-50fe3d28be59_SetDate">
    <vt:lpwstr>2020-05-26T18:32:31Z</vt:lpwstr>
  </property>
  <property fmtid="{D5CDD505-2E9C-101B-9397-08002B2CF9AE}" pid="4" name="MSIP_Label_8cdb18a7-9a06-4c2b-92aa-50fe3d28be59_Method">
    <vt:lpwstr>Privileged</vt:lpwstr>
  </property>
  <property fmtid="{D5CDD505-2E9C-101B-9397-08002B2CF9AE}" pid="5" name="MSIP_Label_8cdb18a7-9a06-4c2b-92aa-50fe3d28be59_Name">
    <vt:lpwstr>General</vt:lpwstr>
  </property>
  <property fmtid="{D5CDD505-2E9C-101B-9397-08002B2CF9AE}" pid="6" name="MSIP_Label_8cdb18a7-9a06-4c2b-92aa-50fe3d28be59_SiteId">
    <vt:lpwstr>2fa0a31b-637e-4e9b-8f70-edb441565e18</vt:lpwstr>
  </property>
  <property fmtid="{D5CDD505-2E9C-101B-9397-08002B2CF9AE}" pid="7" name="MSIP_Label_8cdb18a7-9a06-4c2b-92aa-50fe3d28be59_ActionId">
    <vt:lpwstr>0dbb49bf-e662-47b2-87df-529dd7de69b6</vt:lpwstr>
  </property>
  <property fmtid="{D5CDD505-2E9C-101B-9397-08002B2CF9AE}" pid="8" name="MSIP_Label_8cdb18a7-9a06-4c2b-92aa-50fe3d28be59_ContentBits">
    <vt:lpwstr>0</vt:lpwstr>
  </property>
  <property fmtid="{D5CDD505-2E9C-101B-9397-08002B2CF9AE}" pid="9" name="ContentTypeId">
    <vt:lpwstr>0x010100392A42EE5C366A47B57350977E5942CD</vt:lpwstr>
  </property>
</Properties>
</file>